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амятка" sheetId="1" r:id="rId5"/>
    <sheet state="visible" name="План тренировок" sheetId="2" r:id="rId6"/>
    <sheet state="visible" name="Журнал" sheetId="3" r:id="rId7"/>
    <sheet state="visible" name="Статистика" sheetId="4" r:id="rId8"/>
    <sheet state="visible" name="Графики" sheetId="5" r:id="rId9"/>
    <sheet state="visible" name="Динамика" sheetId="6" r:id="rId10"/>
    <sheet state="visible" name="Замены" sheetId="7" r:id="rId11"/>
    <sheet state="hidden" name="Справочники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Тоннаж = вес × повторы. Объём работы за подход (кг). Сумма за тренировку = общий поднятый вес. Считается сам.</t>
      </text>
    </comment>
    <comment authorId="0" ref="G1">
      <text>
        <t xml:space="preserve">e1RM = расчётный максимум на 1 повтор (формула Эпли: вес×(1+повторы/30)). Метрика силы: позволяет сравнивать подходы с разным весом и числом повторов. Считается сам.</t>
      </text>
    </comment>
  </commentList>
</comments>
</file>

<file path=xl/sharedStrings.xml><?xml version="1.0" encoding="utf-8"?>
<sst xmlns="http://schemas.openxmlformats.org/spreadsheetml/2006/main" count="478" uniqueCount="164">
  <si>
    <t>Программа: Верх / Низ, 4 дня — гибрид СИЛА + МАССА (средний уровень)</t>
  </si>
  <si>
    <t>Дни: Пн — Верх A · Вт — Низ A · Чт — Верх B · Пт — Низ B (быстрый, ~1 ч, можно пропускать)</t>
  </si>
  <si>
    <t>ГЛАВНЫЕ ПРИНЦИПЫ</t>
  </si>
  <si>
    <t>• Каждая мышца — 2 раза в неделю. Недельный объём 10–16 рабочих подходов на крупную мышцу.</t>
  </si>
  <si>
    <t>• Силовое движение дня (оранжевое) — первым, тяжело: 4–5 подходов, малоповторка, отдых 2,5–3 мин, 1–2 повтора «в запасе».</t>
  </si>
  <si>
    <t>• Дальше — подсобка на массу: 3x8–15, отдых 60–90 сек, последние 1–2 подхода близко к отказу.</t>
  </si>
  <si>
    <t>• Прогрессия (double progression): добрал верх диапазона во всех подходах → +2,5–5 кг и снова с низа.</t>
  </si>
  <si>
    <t>ЖИМ ШТАНГИ ЛЁЖА — на максимум (Пн, первым)</t>
  </si>
  <si>
    <t>• Схема 5,5,3,3,2 с ростом веса; раз в 2–3 недели — «проходка» на 2–3 повтора. Всегда страховка/напарник.</t>
  </si>
  <si>
    <t>• Берегите плечо: хват не шире ~1,5 ширины плеч, лопатки сведены и опущены, локти не разводим в стороны (~45–75°), штангу к низу груди.</t>
  </si>
  <si>
    <t>• Если плечо снова заноет — первым облегчаем именно жим лёжа.</t>
  </si>
  <si>
    <t>ЗАЩИТА ПЛЕЧ</t>
  </si>
  <si>
    <t>• Жим над головой — только 1 раз в неделю (Чт), нейтральным хватом. Убрали тягу к подбородку и жимы из-за головы.</t>
  </si>
  <si>
    <t>• Тяг больше, чем жимов. Зелёные строки — прехаб (манжета + тяга к лицу), делать всегда, легко.</t>
  </si>
  <si>
    <t>ДНЕВНИК И СТАТИСТИКА</t>
  </si>
  <si>
    <t>• Лист «Журнал» — записывай каждый рабочий подход (дата, кто, упражнение из списка, вес, повторы). Тоннаж и e1RM считаются сами.</t>
  </si>
  <si>
    <t>• Лист «Статистика» и «Графики» — автоматически показывают прогресс (Старт → Сейчас) по e1RM. Ничего считать руками не надо.</t>
  </si>
  <si>
    <t>• Тоннаж = вес × повторы — объём работы за подход (кг); сумма за тренировку = общий поднятый вес.</t>
  </si>
  <si>
    <t>• e1RM — расчётный максимум на 1 повтор (формула Эпли: вес×(1+повт/30)): честно сравнивает подходы с разным весом и числом повторов. Пример: 60 кг×10 → e1RM 80 кг.</t>
  </si>
  <si>
    <t>ТЕМП (4 цифры, напр. 3010): опускание / пауза внизу / подъём / пауза вверху, в сек. X = взрывной подъём.</t>
  </si>
  <si>
    <t>ЦИКЛ: 5–6 недель → 1 неделя разгрузки (вес −40%) → меняем вариации (лист «Замены») → новый блок.</t>
  </si>
  <si>
    <t>ДЕНЬ 1 — ПОНЕДЕЛЬНИК · ВЕРХ A (грудь + спина, силовой акцент)</t>
  </si>
  <si>
    <t>Жим штанги лёжа — ПЕРВЫМ, на максимум (оранжевое). Прехаб (зелёное) обязателен. ~80–90 мин.</t>
  </si>
  <si>
    <t>№</t>
  </si>
  <si>
    <t>Упражнение</t>
  </si>
  <si>
    <t>Группа / зачем</t>
  </si>
  <si>
    <t>Подходы</t>
  </si>
  <si>
    <t>Повторения</t>
  </si>
  <si>
    <t>Темп</t>
  </si>
  <si>
    <t>Отдых, сек</t>
  </si>
  <si>
    <t>Техника (ссылка)</t>
  </si>
  <si>
    <t>Жим штанги лёжа</t>
  </si>
  <si>
    <t>Грудь (ГЛАВНОЕ, на максимум)</t>
  </si>
  <si>
    <t>5,5,3,3,2</t>
  </si>
  <si>
    <t>30X1</t>
  </si>
  <si>
    <t>смотреть ▶</t>
  </si>
  <si>
    <t>Тяга штанги в наклоне</t>
  </si>
  <si>
    <t>Спина/толщина (главное, сила)</t>
  </si>
  <si>
    <t>6–8</t>
  </si>
  <si>
    <t>3010</t>
  </si>
  <si>
    <t>Жим гантелей на наклонной 30°</t>
  </si>
  <si>
    <t>Грудь, верх (подсобка)</t>
  </si>
  <si>
    <t>8–12</t>
  </si>
  <si>
    <t>3011</t>
  </si>
  <si>
    <t>Тяга верхнего блока нейтральным хватом</t>
  </si>
  <si>
    <t>Широчайшие (ширина)</t>
  </si>
  <si>
    <t>10–12</t>
  </si>
  <si>
    <t>2011</t>
  </si>
  <si>
    <t>Махи гантелями в стороны</t>
  </si>
  <si>
    <t>Средняя дельта (не выше плеч)</t>
  </si>
  <si>
    <t>12–15</t>
  </si>
  <si>
    <t>2010</t>
  </si>
  <si>
    <t>Французский жим / разгибания на блоке</t>
  </si>
  <si>
    <t>Трицепс</t>
  </si>
  <si>
    <t>Подъём штанги на бицепс</t>
  </si>
  <si>
    <t>Бицепс</t>
  </si>
  <si>
    <t>П</t>
  </si>
  <si>
    <t>Внешняя ротация плеча на блоке</t>
  </si>
  <si>
    <t>ПРЕХАБ: манжета плеча</t>
  </si>
  <si>
    <t>15–20</t>
  </si>
  <si>
    <t>ДЕНЬ 2 — ВТОРНИК · НИЗ A (квадрицепс, силовой акцент)</t>
  </si>
  <si>
    <t>Приседания — главное движение недели. ~70–80 мин.</t>
  </si>
  <si>
    <t>Приседания со штангой (или в Смите)</t>
  </si>
  <si>
    <t>Квадрицепс (ГЛАВНОЕ, сила)</t>
  </si>
  <si>
    <t>5–6</t>
  </si>
  <si>
    <t>Гоблет-приседания (с гантелью/гирей)</t>
  </si>
  <si>
    <t>Квадрицепс/ягодицы</t>
  </si>
  <si>
    <t>Румынская тяга со штангой/гантелями</t>
  </si>
  <si>
    <t>Бицепс бедра/ягодицы</t>
  </si>
  <si>
    <t>8–10</t>
  </si>
  <si>
    <t>Разгибание ног в тренажёре сидя</t>
  </si>
  <si>
    <t>Квадрицепс (изоляция)</t>
  </si>
  <si>
    <t>Сгибание ног лёжа/сидя</t>
  </si>
  <si>
    <t>Бицепс бедра (изоляция)</t>
  </si>
  <si>
    <t>Подъём на носки стоя (в Смите)</t>
  </si>
  <si>
    <t>Икры</t>
  </si>
  <si>
    <t>2012</t>
  </si>
  <si>
    <t>Подъём ног в висе</t>
  </si>
  <si>
    <t>Пресс</t>
  </si>
  <si>
    <t>ДЕНЬ 3 — ЧЕТВЕРГ · ВЕРХ B (плечи + спина, акцент на массу)</t>
  </si>
  <si>
    <t>Единственный жим над головой — нейтральным хватом, бережно. Тяг больше, чем жимов. ~80–90 мин.</t>
  </si>
  <si>
    <t>Жим гантелей сидя нейтральным хватом</t>
  </si>
  <si>
    <t>Плечи (единственный жим вверх, бережно)</t>
  </si>
  <si>
    <t>Подтягивания / тяга верхнего блока к груди</t>
  </si>
  <si>
    <t>Спина/ширина (сила)</t>
  </si>
  <si>
    <t>Тяга горизонтального блока к поясу</t>
  </si>
  <si>
    <t>Спина/толщина (тяг больше, чем жимов)</t>
  </si>
  <si>
    <t>Сведение рук в кроссовере / бабочка</t>
  </si>
  <si>
    <t>Грудь (2-й раз за неделю)</t>
  </si>
  <si>
    <t>Средняя дельта</t>
  </si>
  <si>
    <t>Тяга каната к лицу (face pull)</t>
  </si>
  <si>
    <t>ПРЕХАБ: задняя дельта + плечо</t>
  </si>
  <si>
    <t>Сгибание рук «молот»</t>
  </si>
  <si>
    <t>Бицепс/брахиалис</t>
  </si>
  <si>
    <t>Разгибание на блоке с канатом</t>
  </si>
  <si>
    <t>ДЕНЬ 4 — ПЯТНИЦА · НИЗ B + руки (быстрый, ~1 ч, можно пропускать)</t>
  </si>
  <si>
    <t>Короткий, темповый, отдых минимальный. Если пропустили — программа НЕ ломается.</t>
  </si>
  <si>
    <t>Гиперэкстензия (или румынская тяга)</t>
  </si>
  <si>
    <t>Задняя цепь (главное)</t>
  </si>
  <si>
    <t>Болгарские выпады / выпады по залу</t>
  </si>
  <si>
    <t>Ноги целиком</t>
  </si>
  <si>
    <t>Сгибание ног в тренажёре</t>
  </si>
  <si>
    <t>Бицепс бедра</t>
  </si>
  <si>
    <t>Подъём на носки</t>
  </si>
  <si>
    <t>Суперсет: бицепс (молот) + трицепс (блок)</t>
  </si>
  <si>
    <t>Руки (пампинг)</t>
  </si>
  <si>
    <t>12 + 12</t>
  </si>
  <si>
    <t>Планка / скручивания</t>
  </si>
  <si>
    <t>40–60 сек / 20</t>
  </si>
  <si>
    <t>—</t>
  </si>
  <si>
    <t>Дата</t>
  </si>
  <si>
    <t>Кто</t>
  </si>
  <si>
    <t>Вес, кг</t>
  </si>
  <si>
    <t>Повторы</t>
  </si>
  <si>
    <t>Тоннаж</t>
  </si>
  <si>
    <t>e1RM</t>
  </si>
  <si>
    <t>Егор</t>
  </si>
  <si>
    <t>Данил</t>
  </si>
  <si>
    <t>Тяга верхнего блока</t>
  </si>
  <si>
    <t>Жим гантелей лёжа (гориз.)</t>
  </si>
  <si>
    <t>Французский жим</t>
  </si>
  <si>
    <t>Внешняя ротация плеча</t>
  </si>
  <si>
    <t>Приседания со штангой</t>
  </si>
  <si>
    <t>Гоблет-приседания</t>
  </si>
  <si>
    <t>Румынская тяга</t>
  </si>
  <si>
    <t>Разгибание ног сидя</t>
  </si>
  <si>
    <t>Сгибание ног лёжа</t>
  </si>
  <si>
    <t>СТАТИСТИКА ПРОГРЕССА  ·  Старт = лучший e1RM на 1-й тренировке, Сейчас = на последней. Заполняй «Журнал» — пересчитается само.</t>
  </si>
  <si>
    <t>ДАНИЛ</t>
  </si>
  <si>
    <t>ЕГОР</t>
  </si>
  <si>
    <t>Старт e1RM</t>
  </si>
  <si>
    <t>Сейчас</t>
  </si>
  <si>
    <t>Δ %</t>
  </si>
  <si>
    <t>Жим гантелей сидя</t>
  </si>
  <si>
    <t>Прогресс по e1RM (кг): Старт → Сейчас. Обновляется автоматически при заполнении «Журнала».</t>
  </si>
  <si>
    <t>ДИНАМИКА e1RM ПО НЕДЕЛЯМ</t>
  </si>
  <si>
    <t>Упражнение →</t>
  </si>
  <si>
    <t>Выбери упражнение в жёлтой ячейке. Точки на графике появляются сами по мере заполнения «Журнала». Пустые ячейки — в этот день упражнение не делали.</t>
  </si>
  <si>
    <t>Данил e1RM</t>
  </si>
  <si>
    <t>Егор e1RM</t>
  </si>
  <si>
    <t>Базовое движение</t>
  </si>
  <si>
    <t>Чем заменить через 5–6 недель (тот же паттерн)</t>
  </si>
  <si>
    <t>Жим штанги лёжа (на максимум)</t>
  </si>
  <si>
    <t>Жим в Смите · жим узким хватом · жим гантелей лёжа (когда нужна разгрузка плеча)</t>
  </si>
  <si>
    <t>Тяга Т-грифа · тяга гантели одной рукой · тяга в наклоне обратным хватом</t>
  </si>
  <si>
    <t>Подтягивания · тяга блока узким хватом · пуловер на блоке</t>
  </si>
  <si>
    <t>Жим гантелей сидя (плечи)</t>
  </si>
  <si>
    <t>Landmine-жим · Арнольд-жим (легко) · жим стоя в Смите перед собой</t>
  </si>
  <si>
    <t>Фронтальные приседания · гоблет-приседания · выпады с гантелями</t>
  </si>
  <si>
    <t>Гиперэкстензия с весом · сгибание ног стоя · ягодичный мост</t>
  </si>
  <si>
    <t>Махи в стороны</t>
  </si>
  <si>
    <t>Махи в кроссовере · отведение в тренажёре · махи с паузой вверху</t>
  </si>
  <si>
    <t>Face pull / задняя дельта</t>
  </si>
  <si>
    <t>Разведение в кроссовере · обратная бабочка · тяга каната на заднюю дельту</t>
  </si>
  <si>
    <t>Упражнения</t>
  </si>
  <si>
    <t>Подтягивания</t>
  </si>
  <si>
    <t>Тяга горизонтального блока</t>
  </si>
  <si>
    <t>Сведение в кроссовере</t>
  </si>
  <si>
    <t>Тяга каната к лицу</t>
  </si>
  <si>
    <t>Сгибание молот</t>
  </si>
  <si>
    <t>Разгибание на блоке трицепс</t>
  </si>
  <si>
    <t>Гиперэкстензия</t>
  </si>
  <si>
    <t>Болгарские выпады</t>
  </si>
  <si>
    <t>Планка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</si>
</sst>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0.0"/>
    <numFmt numFmtId="166" formatCode="0.0%"/>
  </numFmts>
  <fonts count="18">
    <font>
      <sz val="11.0"/>
      <color theme="1"/>
      <name val="Calibri"/>
      <scheme val="minor"/>
    </font>
    <font>
      <b/>
      <sz val="12.0"/>
      <color rgb="FF1F3864"/>
      <name val="Calibri"/>
      <scheme val="minor"/>
    </font>
    <font>
      <b/>
      <sz val="11.0"/>
      <color rgb="FFC00000"/>
      <name val="Calibri"/>
      <scheme val="minor"/>
    </font>
    <font>
      <b/>
      <sz val="13.0"/>
      <color rgb="FFFFFFFF"/>
      <name val="Calibri"/>
      <scheme val="minor"/>
    </font>
    <font/>
    <font>
      <i/>
      <sz val="10.0"/>
      <color rgb="FF44546A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u/>
      <sz val="10.0"/>
      <color rgb="FF0563C1"/>
    </font>
    <font>
      <u/>
      <sz val="10.0"/>
      <color rgb="FF0563C1"/>
    </font>
    <font>
      <u/>
      <sz val="10.0"/>
      <color rgb="FF0563C1"/>
    </font>
    <font>
      <u/>
      <sz val="10.0"/>
      <color rgb="FF0563C1"/>
    </font>
    <font>
      <b/>
      <sz val="11.0"/>
      <color rgb="FF1F3864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i/>
      <sz val="9.0"/>
      <color rgb="FF808080"/>
      <name val="Calibri"/>
      <scheme val="minor"/>
    </font>
    <font>
      <sz val="9.0"/>
      <color rgb="FFA6A6A6"/>
      <name val="Calibri"/>
      <scheme val="minor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C55A11"/>
        <bgColor rgb="FFC55A11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vertical="center"/>
    </xf>
    <xf borderId="4" fillId="3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ont="1">
      <alignment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7" fontId="7" numFmtId="164" xfId="0" applyAlignment="1" applyBorder="1" applyFill="1" applyFont="1" applyNumberFormat="1">
      <alignment horizontal="center" vertical="center"/>
    </xf>
    <xf borderId="4" fillId="7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left" vertical="center"/>
    </xf>
    <xf borderId="0" fillId="0" fontId="12" numFmtId="0" xfId="0" applyAlignment="1" applyFont="1">
      <alignment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4" fillId="0" fontId="7" numFmtId="166" xfId="0" applyAlignment="1" applyBorder="1" applyFont="1" applyNumberFormat="1">
      <alignment horizontal="center" shrinkToFit="0" vertical="center" wrapText="1"/>
    </xf>
    <xf borderId="4" fillId="5" fontId="7" numFmtId="0" xfId="0" applyAlignment="1" applyBorder="1" applyFont="1">
      <alignment horizontal="left" vertical="center"/>
    </xf>
    <xf borderId="4" fillId="5" fontId="7" numFmtId="165" xfId="0" applyAlignment="1" applyBorder="1" applyFont="1" applyNumberFormat="1">
      <alignment horizontal="center" shrinkToFit="0" vertical="center" wrapText="1"/>
    </xf>
    <xf borderId="4" fillId="5" fontId="7" numFmtId="166" xfId="0" applyAlignment="1" applyBorder="1" applyFont="1" applyNumberFormat="1">
      <alignment horizontal="center" shrinkToFit="0" vertical="center" wrapText="1"/>
    </xf>
    <xf borderId="0" fillId="0" fontId="12" numFmtId="0" xfId="0" applyFont="1"/>
    <xf borderId="0" fillId="0" fontId="1" numFmtId="0" xfId="0" applyAlignment="1" applyFont="1">
      <alignment vertical="center"/>
    </xf>
    <xf borderId="0" fillId="0" fontId="13" numFmtId="0" xfId="0" applyFont="1"/>
    <xf borderId="4" fillId="7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4" fillId="0" fontId="7" numFmtId="164" xfId="0" applyAlignment="1" applyBorder="1" applyFont="1" applyNumberFormat="1">
      <alignment horizontal="center" shrinkToFit="0" vertical="center" wrapText="1"/>
    </xf>
    <xf borderId="4" fillId="0" fontId="16" numFmtId="165" xfId="0" applyAlignment="1" applyBorder="1" applyFont="1" applyNumberForma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3" fontId="6" numFmtId="0" xfId="0" applyBorder="1" applyFont="1"/>
    <xf borderId="0" fillId="0" fontId="17" numFmtId="0" xfId="0" applyFont="1"/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ДАНИЛ — прогресс e1RM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'Статистика'!$B$3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'Статистика'!$A$4:$A$15</c:f>
            </c:strRef>
          </c:cat>
          <c:val>
            <c:numRef>
              <c:f>'Статистика'!$B$4:$B$15</c:f>
              <c:numCache/>
            </c:numRef>
          </c:val>
        </c:ser>
        <c:ser>
          <c:idx val="1"/>
          <c:order val="1"/>
          <c:tx>
            <c:strRef>
              <c:f>'Статистика'!$C$3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'Статистика'!$A$4:$A$15</c:f>
            </c:strRef>
          </c:cat>
          <c:val>
            <c:numRef>
              <c:f>'Статистика'!$C$4:$C$15</c:f>
              <c:numCache/>
            </c:numRef>
          </c:val>
        </c:ser>
        <c:axId val="1279053198"/>
        <c:axId val="1082627661"/>
      </c:barChart>
      <c:catAx>
        <c:axId val="1279053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627661"/>
      </c:catAx>
      <c:valAx>
        <c:axId val="1082627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e1RM, кг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053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ЕГОР — прогресс e1RM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'Статистика'!$E$3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'Статистика'!$A$4:$A$15</c:f>
            </c:strRef>
          </c:cat>
          <c:val>
            <c:numRef>
              <c:f>'Статистика'!$E$4:$E$15</c:f>
              <c:numCache/>
            </c:numRef>
          </c:val>
        </c:ser>
        <c:ser>
          <c:idx val="1"/>
          <c:order val="1"/>
          <c:tx>
            <c:strRef>
              <c:f>'Статистика'!$F$3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'Статистика'!$A$4:$A$15</c:f>
            </c:strRef>
          </c:cat>
          <c:val>
            <c:numRef>
              <c:f>'Статистика'!$F$4:$F$15</c:f>
              <c:numCache/>
            </c:numRef>
          </c:val>
        </c:ser>
        <c:axId val="1404472779"/>
        <c:axId val="625148380"/>
      </c:barChart>
      <c:catAx>
        <c:axId val="1404472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148380"/>
      </c:catAx>
      <c:valAx>
        <c:axId val="625148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e1RM, кг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472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Динамика e1RM (выбранное упражнение)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'Динамика'!$B$4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6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'Динамика'!$A$5:$A$52</c:f>
            </c:strRef>
          </c:cat>
          <c:val>
            <c:numRef>
              <c:f>'Динамика'!$B$5:$B$52</c:f>
              <c:numCache/>
            </c:numRef>
          </c:val>
          <c:smooth val="0"/>
        </c:ser>
        <c:ser>
          <c:idx val="1"/>
          <c:order val="1"/>
          <c:tx>
            <c:strRef>
              <c:f>'Динамика'!$C$4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6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strRef>
              <c:f>'Динамика'!$A$5:$A$52</c:f>
            </c:strRef>
          </c:cat>
          <c:val>
            <c:numRef>
              <c:f>'Динамика'!$C$5:$C$52</c:f>
              <c:numCache/>
            </c:numRef>
          </c:val>
          <c:smooth val="0"/>
        </c:ser>
        <c:axId val="966057052"/>
        <c:axId val="1709323703"/>
      </c:lineChart>
      <c:catAx>
        <c:axId val="966057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323703"/>
      </c:catAx>
      <c:valAx>
        <c:axId val="1709323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e1RM, кг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057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8639175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8639175" cy="3238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9353550" cy="3590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hampionat.com/lifestyle/article-5774694-mahi-gantelyami-v-storonu-kak-pravilno-delat-stoya-sidya-v-naklone-tehnika-vypolneniya.html" TargetMode="External"/><Relationship Id="rId22" Type="http://schemas.openxmlformats.org/officeDocument/2006/relationships/hyperlink" Target="https://www.championat.com/lifestyle/article-5014019-uprazhnenie-molotki-chto-eto-takoe-tehnika-vypolneniya-kakie-myshcy-rabotayut.html" TargetMode="External"/><Relationship Id="rId21" Type="http://schemas.openxmlformats.org/officeDocument/2006/relationships/hyperlink" Target="https://gymbot.ru/journal/tyaga-k-liczu-v-bloke-preimushhestva-i-tehnika-vypolneniya" TargetMode="External"/><Relationship Id="rId24" Type="http://schemas.openxmlformats.org/officeDocument/2006/relationships/hyperlink" Target="https://www.championat.com/lifestyle/article-5129057-giperekstenziya-chto-eto-takoe-kak-pravilno-delat-giperekstenziyu-v-trenazhernom-zale-i-v-domashnih-usloviyah.html" TargetMode="External"/><Relationship Id="rId23" Type="http://schemas.openxmlformats.org/officeDocument/2006/relationships/hyperlink" Target="https://bodybuilding-and-fitness.ru/uprazhneniya/razgibanie-ruk-na-bloke.html" TargetMode="External"/><Relationship Id="rId1" Type="http://schemas.openxmlformats.org/officeDocument/2006/relationships/hyperlink" Target="https://www.championat.com/lifestyle/article-4090627-zhim-ljozha--kak-pravilno-vypolnjat-i-izbezhat-travm-i-oshibok.html" TargetMode="External"/><Relationship Id="rId2" Type="http://schemas.openxmlformats.org/officeDocument/2006/relationships/hyperlink" Target="https://www.championat.com/lifestyle/article-5388400-tyaga-shtangi-v-naklone-tehnika-uprazhneniya-kakie-myshcy-rabotayut.html" TargetMode="External"/><Relationship Id="rId3" Type="http://schemas.openxmlformats.org/officeDocument/2006/relationships/hyperlink" Target="https://www.championat.com/lifestyle/article-5284038-zhim-gantelej-na-naklonnoj-skame-tehnika-uprazhneniya-i-kakie-myshcy-rabotayut.html" TargetMode="External"/><Relationship Id="rId4" Type="http://schemas.openxmlformats.org/officeDocument/2006/relationships/hyperlink" Target="https://www.championat.com/lifestyle/article-5404742-tyaga-verhnego-bloka-tehnika-uprazhneniya-kakie-myshcy-rabotayut.html" TargetMode="External"/><Relationship Id="rId9" Type="http://schemas.openxmlformats.org/officeDocument/2006/relationships/hyperlink" Target="https://www.championat.com/lifestyle/article-5167991-chto-takoe-olimpijskie-prisedaniya-prisedaniya-so-shtangoj-na-spine.html" TargetMode="External"/><Relationship Id="rId26" Type="http://schemas.openxmlformats.org/officeDocument/2006/relationships/hyperlink" Target="https://lifehacker.ru/sgibanie-nog-v-trenazhyore/" TargetMode="External"/><Relationship Id="rId25" Type="http://schemas.openxmlformats.org/officeDocument/2006/relationships/hyperlink" Target="https://www.championat.com/lifestyle/article-5138357-bolgarskie-vypady-pravilnaya-tehnika-i-glavnye-oshibki.html" TargetMode="External"/><Relationship Id="rId28" Type="http://schemas.openxmlformats.org/officeDocument/2006/relationships/hyperlink" Target="https://www.championat.com/lifestyle/article-5014019-uprazhnenie-molotki-chto-eto-takoe-tehnika-vypolneniya-kakie-myshcy-rabotayut.html" TargetMode="External"/><Relationship Id="rId27" Type="http://schemas.openxmlformats.org/officeDocument/2006/relationships/hyperlink" Target="https://www.championat.com/lifestyle/article-5369954-podem-na-noski-stoya-tehnika-uprazhneniya-kakie-myshschy-rabotayut.html" TargetMode="External"/><Relationship Id="rId5" Type="http://schemas.openxmlformats.org/officeDocument/2006/relationships/hyperlink" Target="https://www.championat.com/lifestyle/article-5774694-mahi-gantelyami-v-storonu-kak-pravilno-delat-stoya-sidya-v-naklone-tehnika-vypolneniya.html" TargetMode="External"/><Relationship Id="rId6" Type="http://schemas.openxmlformats.org/officeDocument/2006/relationships/hyperlink" Target="https://www.championat.com/lifestyle/article-5143711-francuzskij-zhim-lyozha-stoya-i-sidya-tehnika-vypolneniya-i-zachem-nuzhen.html" TargetMode="External"/><Relationship Id="rId29" Type="http://schemas.openxmlformats.org/officeDocument/2006/relationships/hyperlink" Target="https://www.championat.com/lifestyle/article-3805379-kak-pravilno-delat-planku-tehnika-glavnye-oshibki-i-mirovoj-rekord.html" TargetMode="External"/><Relationship Id="rId7" Type="http://schemas.openxmlformats.org/officeDocument/2006/relationships/hyperlink" Target="https://www.championat.com/lifestyle/article-5727488-podyom-shtangi-na-biceps-tehnika-vypolneniya-kakie-myshcy-rabotayut-kak-pravilno-delat-stoya.html" TargetMode="External"/><Relationship Id="rId8" Type="http://schemas.openxmlformats.org/officeDocument/2006/relationships/hyperlink" Target="https://rehabscience.ru/protokol-reabilitatsii-pri-impidzhmente-plecha-bez-operatsii/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www.championat.com/lifestyle/article-5710238-rumynskaya-tyaga-so-shtangoj-tehnika-vypolneniya-kakie-myshcy-rabotayut-kak-pravilno-delat-uprazhnenie.html" TargetMode="External"/><Relationship Id="rId10" Type="http://schemas.openxmlformats.org/officeDocument/2006/relationships/hyperlink" Target="https://www.championat.com/lifestyle/article-5322350-goblet-prisedaniya-tehnika-uprazhneniya-kakie-myshschy-rabotayut.html" TargetMode="External"/><Relationship Id="rId13" Type="http://schemas.openxmlformats.org/officeDocument/2006/relationships/hyperlink" Target="https://lifehacker.ru/sgibanie-nog-v-trenazhyore/" TargetMode="External"/><Relationship Id="rId12" Type="http://schemas.openxmlformats.org/officeDocument/2006/relationships/hyperlink" Target="https://www.sport-express.ru/zozh/fitness/reviews/razgibanie-nog-v-trenazhere-pravilnaya-tehnika-vypolneniya-sidya-effektivnaya-trenirovka-nog-2318919/" TargetMode="External"/><Relationship Id="rId15" Type="http://schemas.openxmlformats.org/officeDocument/2006/relationships/hyperlink" Target="https://fitstars.ru/blog/workout/podyom-nog-v-vise" TargetMode="External"/><Relationship Id="rId14" Type="http://schemas.openxmlformats.org/officeDocument/2006/relationships/hyperlink" Target="https://www.championat.com/lifestyle/article-5369954-podem-na-noski-stoya-tehnika-uprazhneniya-kakie-myshschy-rabotayut.html" TargetMode="External"/><Relationship Id="rId17" Type="http://schemas.openxmlformats.org/officeDocument/2006/relationships/hyperlink" Target="https://www.championat.com/lifestyle/article-4619529-10-samyh-effektivnyh-vidov-podtyagivanij-na-turnike-kakie-myshcy-zadejstvovany.html" TargetMode="External"/><Relationship Id="rId16" Type="http://schemas.openxmlformats.org/officeDocument/2006/relationships/hyperlink" Target="https://www.championat.com/lifestyle/article-5809758-zhim-gantelej-sidya-tehnika-vypolneniya-kakie-myshcy-rabotayut.html" TargetMode="External"/><Relationship Id="rId19" Type="http://schemas.openxmlformats.org/officeDocument/2006/relationships/hyperlink" Target="https://www.championat.com/lifestyle/article-5809358-svedenie-ruk-v-krossovere-tehnika-vypolneniya-kak-delat-uprazhneniya-na-grudnye-myshcy.html" TargetMode="External"/><Relationship Id="rId18" Type="http://schemas.openxmlformats.org/officeDocument/2006/relationships/hyperlink" Target="https://www.championat.com/lifestyle/article-5859320-tyaga-gorizontalnogo-bloka-k-poyasu-tehnika-vypolneniya-kakie-myshcy-rabotayut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30.0" customHeight="1">
      <c r="A1" s="1" t="s">
        <v>0</v>
      </c>
    </row>
    <row r="2" ht="15.75" customHeight="1">
      <c r="A2" s="2" t="s">
        <v>1</v>
      </c>
    </row>
    <row r="3" ht="15.75" customHeight="1">
      <c r="A3" s="2"/>
    </row>
    <row r="4" ht="30.0" customHeight="1">
      <c r="A4" s="1" t="s">
        <v>2</v>
      </c>
    </row>
    <row r="5" ht="15.75" customHeight="1">
      <c r="A5" s="2" t="s">
        <v>3</v>
      </c>
    </row>
    <row r="6" ht="30.0" customHeight="1">
      <c r="A6" s="2" t="s">
        <v>4</v>
      </c>
    </row>
    <row r="7" ht="30.0" customHeight="1">
      <c r="A7" s="2" t="s">
        <v>5</v>
      </c>
    </row>
    <row r="8" ht="30.0" customHeight="1">
      <c r="A8" s="2" t="s">
        <v>6</v>
      </c>
    </row>
    <row r="9" ht="15.75" customHeight="1">
      <c r="A9" s="2"/>
    </row>
    <row r="10" ht="30.0" customHeight="1">
      <c r="A10" s="1" t="s">
        <v>7</v>
      </c>
    </row>
    <row r="11" ht="30.0" customHeight="1">
      <c r="A11" s="2" t="s">
        <v>8</v>
      </c>
    </row>
    <row r="12" ht="30.0" customHeight="1">
      <c r="A12" s="2" t="s">
        <v>9</v>
      </c>
    </row>
    <row r="13" ht="30.0" customHeight="1">
      <c r="A13" s="3" t="s">
        <v>10</v>
      </c>
    </row>
    <row r="14" ht="15.75" customHeight="1">
      <c r="A14" s="2"/>
    </row>
    <row r="15" ht="30.0" customHeight="1">
      <c r="A15" s="1" t="s">
        <v>11</v>
      </c>
    </row>
    <row r="16" ht="30.0" customHeight="1">
      <c r="A16" s="2" t="s">
        <v>12</v>
      </c>
    </row>
    <row r="17" ht="30.0" customHeight="1">
      <c r="A17" s="2" t="s">
        <v>13</v>
      </c>
    </row>
    <row r="18" ht="15.75" customHeight="1">
      <c r="A18" s="2"/>
    </row>
    <row r="19" ht="30.0" customHeight="1">
      <c r="A19" s="1" t="s">
        <v>14</v>
      </c>
    </row>
    <row r="20" ht="30.0" customHeight="1">
      <c r="A20" s="2" t="s">
        <v>15</v>
      </c>
    </row>
    <row r="21" ht="30.0" customHeight="1">
      <c r="A21" s="2" t="s">
        <v>16</v>
      </c>
    </row>
    <row r="22" ht="30.0" customHeight="1">
      <c r="A22" s="2" t="s">
        <v>17</v>
      </c>
    </row>
    <row r="23" ht="30.0" customHeight="1">
      <c r="A23" s="2" t="s">
        <v>18</v>
      </c>
    </row>
    <row r="24" ht="15.75" customHeight="1">
      <c r="A24" s="2"/>
    </row>
    <row r="25" ht="30.0" customHeight="1">
      <c r="A25" s="2" t="s">
        <v>19</v>
      </c>
    </row>
    <row r="26" ht="30.0" customHeight="1">
      <c r="A26" s="2" t="s">
        <v>20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2.0"/>
    <col customWidth="1" min="3" max="3" width="26.0"/>
    <col customWidth="1" min="4" max="4" width="9.0"/>
    <col customWidth="1" min="5" max="5" width="16.0"/>
    <col customWidth="1" min="6" max="6" width="9.0"/>
    <col customWidth="1" min="7" max="7" width="11.0"/>
    <col customWidth="1" min="8" max="8" width="28.0"/>
    <col customWidth="1" min="9" max="26" width="8.71"/>
  </cols>
  <sheetData>
    <row r="1" ht="25.5" customHeight="1">
      <c r="A1" s="4" t="s">
        <v>21</v>
      </c>
      <c r="B1" s="5"/>
      <c r="C1" s="5"/>
      <c r="D1" s="5"/>
      <c r="E1" s="5"/>
      <c r="F1" s="5"/>
      <c r="G1" s="5"/>
      <c r="H1" s="6"/>
    </row>
    <row r="2" ht="18.0" customHeight="1">
      <c r="A2" s="7" t="s">
        <v>22</v>
      </c>
    </row>
    <row r="3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  <c r="G3" s="8" t="s">
        <v>29</v>
      </c>
      <c r="H3" s="8" t="s">
        <v>30</v>
      </c>
    </row>
    <row r="4" ht="30.0" customHeight="1">
      <c r="A4" s="9">
        <v>1.0</v>
      </c>
      <c r="B4" s="10" t="s">
        <v>31</v>
      </c>
      <c r="C4" s="10" t="s">
        <v>32</v>
      </c>
      <c r="D4" s="9">
        <v>5.0</v>
      </c>
      <c r="E4" s="9" t="s">
        <v>33</v>
      </c>
      <c r="F4" s="9" t="s">
        <v>34</v>
      </c>
      <c r="G4" s="9">
        <v>180.0</v>
      </c>
      <c r="H4" s="11" t="s">
        <v>35</v>
      </c>
    </row>
    <row r="5" ht="30.0" customHeight="1">
      <c r="A5" s="12">
        <v>2.0</v>
      </c>
      <c r="B5" s="13" t="s">
        <v>36</v>
      </c>
      <c r="C5" s="13" t="s">
        <v>37</v>
      </c>
      <c r="D5" s="12">
        <v>4.0</v>
      </c>
      <c r="E5" s="12" t="s">
        <v>38</v>
      </c>
      <c r="F5" s="12" t="s">
        <v>39</v>
      </c>
      <c r="G5" s="12">
        <v>150.0</v>
      </c>
      <c r="H5" s="14" t="s">
        <v>35</v>
      </c>
    </row>
    <row r="6" ht="30.0" customHeight="1">
      <c r="A6" s="15">
        <v>3.0</v>
      </c>
      <c r="B6" s="16" t="s">
        <v>40</v>
      </c>
      <c r="C6" s="16" t="s">
        <v>41</v>
      </c>
      <c r="D6" s="15">
        <v>3.0</v>
      </c>
      <c r="E6" s="15" t="s">
        <v>42</v>
      </c>
      <c r="F6" s="15" t="s">
        <v>43</v>
      </c>
      <c r="G6" s="15">
        <v>90.0</v>
      </c>
      <c r="H6" s="17" t="s">
        <v>35</v>
      </c>
    </row>
    <row r="7" ht="30.0" customHeight="1">
      <c r="A7" s="12">
        <v>4.0</v>
      </c>
      <c r="B7" s="13" t="s">
        <v>44</v>
      </c>
      <c r="C7" s="13" t="s">
        <v>45</v>
      </c>
      <c r="D7" s="12">
        <v>3.0</v>
      </c>
      <c r="E7" s="12" t="s">
        <v>46</v>
      </c>
      <c r="F7" s="12" t="s">
        <v>47</v>
      </c>
      <c r="G7" s="12">
        <v>90.0</v>
      </c>
      <c r="H7" s="14" t="s">
        <v>35</v>
      </c>
    </row>
    <row r="8" ht="30.0" customHeight="1">
      <c r="A8" s="15">
        <v>5.0</v>
      </c>
      <c r="B8" s="16" t="s">
        <v>48</v>
      </c>
      <c r="C8" s="16" t="s">
        <v>49</v>
      </c>
      <c r="D8" s="15">
        <v>3.0</v>
      </c>
      <c r="E8" s="15" t="s">
        <v>50</v>
      </c>
      <c r="F8" s="15" t="s">
        <v>51</v>
      </c>
      <c r="G8" s="15">
        <v>60.0</v>
      </c>
      <c r="H8" s="17" t="s">
        <v>35</v>
      </c>
    </row>
    <row r="9" ht="30.0" customHeight="1">
      <c r="A9" s="12">
        <v>6.0</v>
      </c>
      <c r="B9" s="13" t="s">
        <v>52</v>
      </c>
      <c r="C9" s="13" t="s">
        <v>53</v>
      </c>
      <c r="D9" s="12">
        <v>3.0</v>
      </c>
      <c r="E9" s="12" t="s">
        <v>46</v>
      </c>
      <c r="F9" s="12" t="s">
        <v>47</v>
      </c>
      <c r="G9" s="12">
        <v>75.0</v>
      </c>
      <c r="H9" s="14" t="s">
        <v>35</v>
      </c>
    </row>
    <row r="10" ht="30.0" customHeight="1">
      <c r="A10" s="15">
        <v>7.0</v>
      </c>
      <c r="B10" s="16" t="s">
        <v>54</v>
      </c>
      <c r="C10" s="16" t="s">
        <v>55</v>
      </c>
      <c r="D10" s="15">
        <v>3.0</v>
      </c>
      <c r="E10" s="15" t="s">
        <v>46</v>
      </c>
      <c r="F10" s="15" t="s">
        <v>47</v>
      </c>
      <c r="G10" s="15">
        <v>75.0</v>
      </c>
      <c r="H10" s="17" t="s">
        <v>35</v>
      </c>
    </row>
    <row r="11" ht="30.0" customHeight="1">
      <c r="A11" s="18" t="s">
        <v>56</v>
      </c>
      <c r="B11" s="19" t="s">
        <v>57</v>
      </c>
      <c r="C11" s="19" t="s">
        <v>58</v>
      </c>
      <c r="D11" s="18">
        <v>2.0</v>
      </c>
      <c r="E11" s="18" t="s">
        <v>59</v>
      </c>
      <c r="F11" s="18" t="s">
        <v>47</v>
      </c>
      <c r="G11" s="18">
        <v>45.0</v>
      </c>
      <c r="H11" s="20" t="s">
        <v>35</v>
      </c>
    </row>
    <row r="13" ht="25.5" customHeight="1">
      <c r="A13" s="4" t="s">
        <v>60</v>
      </c>
      <c r="B13" s="5"/>
      <c r="C13" s="5"/>
      <c r="D13" s="5"/>
      <c r="E13" s="5"/>
      <c r="F13" s="5"/>
      <c r="G13" s="5"/>
      <c r="H13" s="6"/>
    </row>
    <row r="14" ht="18.0" customHeight="1">
      <c r="A14" s="7" t="s">
        <v>61</v>
      </c>
    </row>
    <row r="15">
      <c r="A15" s="8" t="s">
        <v>23</v>
      </c>
      <c r="B15" s="8" t="s">
        <v>24</v>
      </c>
      <c r="C15" s="8" t="s">
        <v>25</v>
      </c>
      <c r="D15" s="8" t="s">
        <v>26</v>
      </c>
      <c r="E15" s="8" t="s">
        <v>27</v>
      </c>
      <c r="F15" s="8" t="s">
        <v>28</v>
      </c>
      <c r="G15" s="8" t="s">
        <v>29</v>
      </c>
      <c r="H15" s="8" t="s">
        <v>30</v>
      </c>
    </row>
    <row r="16" ht="30.0" customHeight="1">
      <c r="A16" s="9">
        <v>1.0</v>
      </c>
      <c r="B16" s="10" t="s">
        <v>62</v>
      </c>
      <c r="C16" s="10" t="s">
        <v>63</v>
      </c>
      <c r="D16" s="9">
        <v>4.0</v>
      </c>
      <c r="E16" s="9" t="s">
        <v>64</v>
      </c>
      <c r="F16" s="9" t="s">
        <v>39</v>
      </c>
      <c r="G16" s="9">
        <v>180.0</v>
      </c>
      <c r="H16" s="11" t="s">
        <v>35</v>
      </c>
    </row>
    <row r="17" ht="30.0" customHeight="1">
      <c r="A17" s="12">
        <v>2.0</v>
      </c>
      <c r="B17" s="13" t="s">
        <v>65</v>
      </c>
      <c r="C17" s="13" t="s">
        <v>66</v>
      </c>
      <c r="D17" s="12">
        <v>3.0</v>
      </c>
      <c r="E17" s="12" t="s">
        <v>46</v>
      </c>
      <c r="F17" s="12" t="s">
        <v>47</v>
      </c>
      <c r="G17" s="12">
        <v>120.0</v>
      </c>
      <c r="H17" s="14" t="s">
        <v>35</v>
      </c>
    </row>
    <row r="18" ht="30.0" customHeight="1">
      <c r="A18" s="15">
        <v>3.0</v>
      </c>
      <c r="B18" s="16" t="s">
        <v>67</v>
      </c>
      <c r="C18" s="16" t="s">
        <v>68</v>
      </c>
      <c r="D18" s="15">
        <v>3.0</v>
      </c>
      <c r="E18" s="15" t="s">
        <v>69</v>
      </c>
      <c r="F18" s="15" t="s">
        <v>43</v>
      </c>
      <c r="G18" s="15">
        <v>120.0</v>
      </c>
      <c r="H18" s="17" t="s">
        <v>35</v>
      </c>
    </row>
    <row r="19" ht="30.0" customHeight="1">
      <c r="A19" s="12">
        <v>4.0</v>
      </c>
      <c r="B19" s="13" t="s">
        <v>70</v>
      </c>
      <c r="C19" s="13" t="s">
        <v>71</v>
      </c>
      <c r="D19" s="12">
        <v>3.0</v>
      </c>
      <c r="E19" s="12" t="s">
        <v>50</v>
      </c>
      <c r="F19" s="12" t="s">
        <v>47</v>
      </c>
      <c r="G19" s="12">
        <v>75.0</v>
      </c>
      <c r="H19" s="14" t="s">
        <v>35</v>
      </c>
    </row>
    <row r="20" ht="30.0" customHeight="1">
      <c r="A20" s="15">
        <v>5.0</v>
      </c>
      <c r="B20" s="16" t="s">
        <v>72</v>
      </c>
      <c r="C20" s="16" t="s">
        <v>73</v>
      </c>
      <c r="D20" s="15">
        <v>3.0</v>
      </c>
      <c r="E20" s="15" t="s">
        <v>50</v>
      </c>
      <c r="F20" s="15" t="s">
        <v>47</v>
      </c>
      <c r="G20" s="15">
        <v>75.0</v>
      </c>
      <c r="H20" s="17" t="s">
        <v>35</v>
      </c>
    </row>
    <row r="21" ht="30.0" customHeight="1">
      <c r="A21" s="12">
        <v>6.0</v>
      </c>
      <c r="B21" s="13" t="s">
        <v>74</v>
      </c>
      <c r="C21" s="13" t="s">
        <v>75</v>
      </c>
      <c r="D21" s="12">
        <v>4.0</v>
      </c>
      <c r="E21" s="12" t="s">
        <v>50</v>
      </c>
      <c r="F21" s="12" t="s">
        <v>76</v>
      </c>
      <c r="G21" s="12">
        <v>60.0</v>
      </c>
      <c r="H21" s="14" t="s">
        <v>35</v>
      </c>
    </row>
    <row r="22" ht="30.0" customHeight="1">
      <c r="A22" s="15">
        <v>7.0</v>
      </c>
      <c r="B22" s="16" t="s">
        <v>77</v>
      </c>
      <c r="C22" s="16" t="s">
        <v>78</v>
      </c>
      <c r="D22" s="15">
        <v>3.0</v>
      </c>
      <c r="E22" s="15" t="s">
        <v>59</v>
      </c>
      <c r="F22" s="15" t="s">
        <v>47</v>
      </c>
      <c r="G22" s="15">
        <v>60.0</v>
      </c>
      <c r="H22" s="17" t="s">
        <v>35</v>
      </c>
    </row>
    <row r="23" ht="15.75" customHeight="1"/>
    <row r="24" ht="25.5" customHeight="1">
      <c r="A24" s="4" t="s">
        <v>79</v>
      </c>
      <c r="B24" s="5"/>
      <c r="C24" s="5"/>
      <c r="D24" s="5"/>
      <c r="E24" s="5"/>
      <c r="F24" s="5"/>
      <c r="G24" s="5"/>
      <c r="H24" s="6"/>
    </row>
    <row r="25" ht="18.0" customHeight="1">
      <c r="A25" s="7" t="s">
        <v>80</v>
      </c>
    </row>
    <row r="26" ht="15.75" customHeight="1">
      <c r="A26" s="8" t="s">
        <v>23</v>
      </c>
      <c r="B26" s="8" t="s">
        <v>24</v>
      </c>
      <c r="C26" s="8" t="s">
        <v>25</v>
      </c>
      <c r="D26" s="8" t="s">
        <v>26</v>
      </c>
      <c r="E26" s="8" t="s">
        <v>27</v>
      </c>
      <c r="F26" s="8" t="s">
        <v>28</v>
      </c>
      <c r="G26" s="8" t="s">
        <v>29</v>
      </c>
      <c r="H26" s="8" t="s">
        <v>30</v>
      </c>
    </row>
    <row r="27" ht="30.0" customHeight="1">
      <c r="A27" s="9">
        <v>1.0</v>
      </c>
      <c r="B27" s="10" t="s">
        <v>81</v>
      </c>
      <c r="C27" s="10" t="s">
        <v>82</v>
      </c>
      <c r="D27" s="9">
        <v>4.0</v>
      </c>
      <c r="E27" s="9" t="s">
        <v>69</v>
      </c>
      <c r="F27" s="9" t="s">
        <v>39</v>
      </c>
      <c r="G27" s="9">
        <v>120.0</v>
      </c>
      <c r="H27" s="11" t="s">
        <v>35</v>
      </c>
    </row>
    <row r="28" ht="30.0" customHeight="1">
      <c r="A28" s="12">
        <v>2.0</v>
      </c>
      <c r="B28" s="13" t="s">
        <v>83</v>
      </c>
      <c r="C28" s="13" t="s">
        <v>84</v>
      </c>
      <c r="D28" s="12">
        <v>4.0</v>
      </c>
      <c r="E28" s="12" t="s">
        <v>69</v>
      </c>
      <c r="F28" s="12" t="s">
        <v>47</v>
      </c>
      <c r="G28" s="12">
        <v>120.0</v>
      </c>
      <c r="H28" s="14" t="s">
        <v>35</v>
      </c>
    </row>
    <row r="29" ht="30.0" customHeight="1">
      <c r="A29" s="15">
        <v>3.0</v>
      </c>
      <c r="B29" s="16" t="s">
        <v>85</v>
      </c>
      <c r="C29" s="16" t="s">
        <v>86</v>
      </c>
      <c r="D29" s="15">
        <v>3.0</v>
      </c>
      <c r="E29" s="15" t="s">
        <v>46</v>
      </c>
      <c r="F29" s="15" t="s">
        <v>47</v>
      </c>
      <c r="G29" s="15">
        <v>90.0</v>
      </c>
      <c r="H29" s="17" t="s">
        <v>35</v>
      </c>
    </row>
    <row r="30" ht="30.0" customHeight="1">
      <c r="A30" s="12">
        <v>4.0</v>
      </c>
      <c r="B30" s="13" t="s">
        <v>87</v>
      </c>
      <c r="C30" s="13" t="s">
        <v>88</v>
      </c>
      <c r="D30" s="12">
        <v>3.0</v>
      </c>
      <c r="E30" s="12" t="s">
        <v>50</v>
      </c>
      <c r="F30" s="12" t="s">
        <v>47</v>
      </c>
      <c r="G30" s="12">
        <v>75.0</v>
      </c>
      <c r="H30" s="14" t="s">
        <v>35</v>
      </c>
    </row>
    <row r="31" ht="30.0" customHeight="1">
      <c r="A31" s="15">
        <v>5.0</v>
      </c>
      <c r="B31" s="16" t="s">
        <v>48</v>
      </c>
      <c r="C31" s="16" t="s">
        <v>89</v>
      </c>
      <c r="D31" s="15">
        <v>3.0</v>
      </c>
      <c r="E31" s="15" t="s">
        <v>50</v>
      </c>
      <c r="F31" s="15" t="s">
        <v>51</v>
      </c>
      <c r="G31" s="15">
        <v>60.0</v>
      </c>
      <c r="H31" s="17" t="s">
        <v>35</v>
      </c>
    </row>
    <row r="32" ht="30.0" customHeight="1">
      <c r="A32" s="18">
        <v>6.0</v>
      </c>
      <c r="B32" s="19" t="s">
        <v>90</v>
      </c>
      <c r="C32" s="19" t="s">
        <v>91</v>
      </c>
      <c r="D32" s="18">
        <v>3.0</v>
      </c>
      <c r="E32" s="18" t="s">
        <v>59</v>
      </c>
      <c r="F32" s="18" t="s">
        <v>76</v>
      </c>
      <c r="G32" s="18">
        <v>60.0</v>
      </c>
      <c r="H32" s="20" t="s">
        <v>35</v>
      </c>
    </row>
    <row r="33" ht="30.0" customHeight="1">
      <c r="A33" s="15">
        <v>7.0</v>
      </c>
      <c r="B33" s="16" t="s">
        <v>92</v>
      </c>
      <c r="C33" s="16" t="s">
        <v>93</v>
      </c>
      <c r="D33" s="15">
        <v>3.0</v>
      </c>
      <c r="E33" s="15" t="s">
        <v>46</v>
      </c>
      <c r="F33" s="15" t="s">
        <v>47</v>
      </c>
      <c r="G33" s="15">
        <v>75.0</v>
      </c>
      <c r="H33" s="17" t="s">
        <v>35</v>
      </c>
    </row>
    <row r="34" ht="30.0" customHeight="1">
      <c r="A34" s="12">
        <v>8.0</v>
      </c>
      <c r="B34" s="13" t="s">
        <v>94</v>
      </c>
      <c r="C34" s="13" t="s">
        <v>53</v>
      </c>
      <c r="D34" s="12">
        <v>3.0</v>
      </c>
      <c r="E34" s="12" t="s">
        <v>50</v>
      </c>
      <c r="F34" s="12" t="s">
        <v>47</v>
      </c>
      <c r="G34" s="12">
        <v>60.0</v>
      </c>
      <c r="H34" s="14" t="s">
        <v>35</v>
      </c>
    </row>
    <row r="35" ht="15.75" customHeight="1"/>
    <row r="36" ht="25.5" customHeight="1">
      <c r="A36" s="4" t="s">
        <v>95</v>
      </c>
      <c r="B36" s="5"/>
      <c r="C36" s="5"/>
      <c r="D36" s="5"/>
      <c r="E36" s="5"/>
      <c r="F36" s="5"/>
      <c r="G36" s="5"/>
      <c r="H36" s="6"/>
    </row>
    <row r="37" ht="18.0" customHeight="1">
      <c r="A37" s="7" t="s">
        <v>96</v>
      </c>
    </row>
    <row r="38" ht="15.75" customHeight="1">
      <c r="A38" s="8" t="s">
        <v>23</v>
      </c>
      <c r="B38" s="8" t="s">
        <v>24</v>
      </c>
      <c r="C38" s="8" t="s">
        <v>25</v>
      </c>
      <c r="D38" s="8" t="s">
        <v>26</v>
      </c>
      <c r="E38" s="8" t="s">
        <v>27</v>
      </c>
      <c r="F38" s="8" t="s">
        <v>28</v>
      </c>
      <c r="G38" s="8" t="s">
        <v>29</v>
      </c>
      <c r="H38" s="8" t="s">
        <v>30</v>
      </c>
    </row>
    <row r="39" ht="30.0" customHeight="1">
      <c r="A39" s="15">
        <v>1.0</v>
      </c>
      <c r="B39" s="16" t="s">
        <v>97</v>
      </c>
      <c r="C39" s="16" t="s">
        <v>98</v>
      </c>
      <c r="D39" s="15">
        <v>3.0</v>
      </c>
      <c r="E39" s="15" t="s">
        <v>46</v>
      </c>
      <c r="F39" s="15" t="s">
        <v>43</v>
      </c>
      <c r="G39" s="15">
        <v>90.0</v>
      </c>
      <c r="H39" s="17" t="s">
        <v>35</v>
      </c>
    </row>
    <row r="40" ht="30.0" customHeight="1">
      <c r="A40" s="12">
        <v>2.0</v>
      </c>
      <c r="B40" s="13" t="s">
        <v>99</v>
      </c>
      <c r="C40" s="13" t="s">
        <v>100</v>
      </c>
      <c r="D40" s="12">
        <v>3.0</v>
      </c>
      <c r="E40" s="12" t="s">
        <v>46</v>
      </c>
      <c r="F40" s="12" t="s">
        <v>47</v>
      </c>
      <c r="G40" s="12">
        <v>90.0</v>
      </c>
      <c r="H40" s="14" t="s">
        <v>35</v>
      </c>
    </row>
    <row r="41" ht="30.0" customHeight="1">
      <c r="A41" s="15">
        <v>3.0</v>
      </c>
      <c r="B41" s="16" t="s">
        <v>101</v>
      </c>
      <c r="C41" s="16" t="s">
        <v>102</v>
      </c>
      <c r="D41" s="15">
        <v>3.0</v>
      </c>
      <c r="E41" s="15" t="s">
        <v>50</v>
      </c>
      <c r="F41" s="15" t="s">
        <v>47</v>
      </c>
      <c r="G41" s="15">
        <v>60.0</v>
      </c>
      <c r="H41" s="17" t="s">
        <v>35</v>
      </c>
    </row>
    <row r="42" ht="30.0" customHeight="1">
      <c r="A42" s="12">
        <v>4.0</v>
      </c>
      <c r="B42" s="13" t="s">
        <v>103</v>
      </c>
      <c r="C42" s="13" t="s">
        <v>75</v>
      </c>
      <c r="D42" s="12">
        <v>3.0</v>
      </c>
      <c r="E42" s="12" t="s">
        <v>59</v>
      </c>
      <c r="F42" s="12" t="s">
        <v>76</v>
      </c>
      <c r="G42" s="12">
        <v>45.0</v>
      </c>
      <c r="H42" s="14" t="s">
        <v>35</v>
      </c>
    </row>
    <row r="43" ht="30.0" customHeight="1">
      <c r="A43" s="15">
        <v>5.0</v>
      </c>
      <c r="B43" s="16" t="s">
        <v>104</v>
      </c>
      <c r="C43" s="16" t="s">
        <v>105</v>
      </c>
      <c r="D43" s="15">
        <v>3.0</v>
      </c>
      <c r="E43" s="15" t="s">
        <v>106</v>
      </c>
      <c r="F43" s="15" t="s">
        <v>47</v>
      </c>
      <c r="G43" s="15">
        <v>60.0</v>
      </c>
      <c r="H43" s="17" t="s">
        <v>35</v>
      </c>
    </row>
    <row r="44" ht="30.0" customHeight="1">
      <c r="A44" s="12">
        <v>6.0</v>
      </c>
      <c r="B44" s="13" t="s">
        <v>107</v>
      </c>
      <c r="C44" s="13" t="s">
        <v>78</v>
      </c>
      <c r="D44" s="12">
        <v>3.0</v>
      </c>
      <c r="E44" s="12" t="s">
        <v>108</v>
      </c>
      <c r="F44" s="12" t="s">
        <v>109</v>
      </c>
      <c r="G44" s="12">
        <v>45.0</v>
      </c>
      <c r="H44" s="14" t="s">
        <v>35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13:H13"/>
    <mergeCell ref="A14:H14"/>
    <mergeCell ref="A24:H24"/>
    <mergeCell ref="A25:H25"/>
    <mergeCell ref="A36:H36"/>
    <mergeCell ref="A37:H37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6"/>
    <hyperlink r:id="rId10" ref="H17"/>
    <hyperlink r:id="rId11" ref="H18"/>
    <hyperlink r:id="rId12" ref="H19"/>
    <hyperlink r:id="rId13" ref="H20"/>
    <hyperlink r:id="rId14" ref="H21"/>
    <hyperlink r:id="rId15" ref="H22"/>
    <hyperlink r:id="rId16" ref="H27"/>
    <hyperlink r:id="rId17" ref="H28"/>
    <hyperlink r:id="rId18" ref="H29"/>
    <hyperlink r:id="rId19" ref="H30"/>
    <hyperlink r:id="rId20" ref="H31"/>
    <hyperlink r:id="rId21" ref="H32"/>
    <hyperlink r:id="rId22" ref="H33"/>
    <hyperlink r:id="rId23" ref="H34"/>
    <hyperlink r:id="rId24" ref="H39"/>
    <hyperlink r:id="rId25" ref="H40"/>
    <hyperlink r:id="rId26" ref="H41"/>
    <hyperlink r:id="rId27" ref="H42"/>
    <hyperlink r:id="rId28" ref="H43"/>
    <hyperlink r:id="rId29" ref="H44"/>
  </hyperlinks>
  <printOptions/>
  <pageMargins bottom="1.0" footer="0.0" header="0.0" left="0.75" right="0.75" top="1.0"/>
  <pageSetup orientation="landscape"/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1.0"/>
    <col customWidth="1" min="3" max="3" width="34.0"/>
    <col customWidth="1" min="4" max="5" width="9.0"/>
    <col customWidth="1" min="6" max="6" width="10.0"/>
    <col customWidth="1" min="7" max="7" width="9.0"/>
    <col customWidth="1" min="8" max="26" width="8.71"/>
  </cols>
  <sheetData>
    <row r="1">
      <c r="A1" s="8" t="s">
        <v>110</v>
      </c>
      <c r="B1" s="8" t="s">
        <v>111</v>
      </c>
      <c r="C1" s="8" t="s">
        <v>24</v>
      </c>
      <c r="D1" s="8" t="s">
        <v>112</v>
      </c>
      <c r="E1" s="8" t="s">
        <v>113</v>
      </c>
      <c r="F1" s="8" t="s">
        <v>114</v>
      </c>
      <c r="G1" s="8" t="s">
        <v>115</v>
      </c>
    </row>
    <row r="2">
      <c r="A2" s="21">
        <v>46195.0</v>
      </c>
      <c r="B2" s="22" t="s">
        <v>116</v>
      </c>
      <c r="C2" s="23" t="s">
        <v>40</v>
      </c>
      <c r="D2" s="22">
        <v>24.0</v>
      </c>
      <c r="E2" s="22">
        <v>10.0</v>
      </c>
      <c r="F2" s="24">
        <f t="shared" ref="F2:F600" si="1">IF(OR($D2="",$E2=""),"",$D2*$E2)</f>
        <v>240</v>
      </c>
      <c r="G2" s="24">
        <f t="shared" ref="G2:G600" si="2">IF(OR($D2="",$E2=""),"",ROUND($D2*(1+$E2/30),1))</f>
        <v>32</v>
      </c>
    </row>
    <row r="3">
      <c r="A3" s="21">
        <v>46195.0</v>
      </c>
      <c r="B3" s="22" t="s">
        <v>116</v>
      </c>
      <c r="C3" s="23" t="s">
        <v>40</v>
      </c>
      <c r="D3" s="22">
        <v>24.0</v>
      </c>
      <c r="E3" s="22">
        <v>12.0</v>
      </c>
      <c r="F3" s="24">
        <f t="shared" si="1"/>
        <v>288</v>
      </c>
      <c r="G3" s="24">
        <f t="shared" si="2"/>
        <v>33.6</v>
      </c>
    </row>
    <row r="4">
      <c r="A4" s="21">
        <v>46195.0</v>
      </c>
      <c r="B4" s="22" t="s">
        <v>116</v>
      </c>
      <c r="C4" s="23" t="s">
        <v>40</v>
      </c>
      <c r="D4" s="22">
        <v>24.0</v>
      </c>
      <c r="E4" s="22">
        <v>12.0</v>
      </c>
      <c r="F4" s="24">
        <f t="shared" si="1"/>
        <v>288</v>
      </c>
      <c r="G4" s="24">
        <f t="shared" si="2"/>
        <v>33.6</v>
      </c>
    </row>
    <row r="5">
      <c r="A5" s="21">
        <v>46195.0</v>
      </c>
      <c r="B5" s="22" t="s">
        <v>116</v>
      </c>
      <c r="C5" s="23" t="s">
        <v>40</v>
      </c>
      <c r="D5" s="22">
        <v>24.0</v>
      </c>
      <c r="E5" s="22">
        <v>12.0</v>
      </c>
      <c r="F5" s="24">
        <f t="shared" si="1"/>
        <v>288</v>
      </c>
      <c r="G5" s="24">
        <f t="shared" si="2"/>
        <v>33.6</v>
      </c>
    </row>
    <row r="6">
      <c r="A6" s="21">
        <v>46195.0</v>
      </c>
      <c r="B6" s="22" t="s">
        <v>117</v>
      </c>
      <c r="C6" s="23" t="s">
        <v>40</v>
      </c>
      <c r="D6" s="22">
        <v>14.0</v>
      </c>
      <c r="E6" s="22">
        <v>12.0</v>
      </c>
      <c r="F6" s="24">
        <f t="shared" si="1"/>
        <v>168</v>
      </c>
      <c r="G6" s="24">
        <f t="shared" si="2"/>
        <v>19.6</v>
      </c>
    </row>
    <row r="7">
      <c r="A7" s="21">
        <v>46195.0</v>
      </c>
      <c r="B7" s="22" t="s">
        <v>117</v>
      </c>
      <c r="C7" s="23" t="s">
        <v>40</v>
      </c>
      <c r="D7" s="22">
        <v>16.0</v>
      </c>
      <c r="E7" s="22">
        <v>12.0</v>
      </c>
      <c r="F7" s="24">
        <f t="shared" si="1"/>
        <v>192</v>
      </c>
      <c r="G7" s="24">
        <f t="shared" si="2"/>
        <v>22.4</v>
      </c>
    </row>
    <row r="8">
      <c r="A8" s="21">
        <v>46195.0</v>
      </c>
      <c r="B8" s="22" t="s">
        <v>117</v>
      </c>
      <c r="C8" s="23" t="s">
        <v>40</v>
      </c>
      <c r="D8" s="22">
        <v>18.0</v>
      </c>
      <c r="E8" s="22">
        <v>12.0</v>
      </c>
      <c r="F8" s="24">
        <f t="shared" si="1"/>
        <v>216</v>
      </c>
      <c r="G8" s="24">
        <f t="shared" si="2"/>
        <v>25.2</v>
      </c>
    </row>
    <row r="9">
      <c r="A9" s="21">
        <v>46195.0</v>
      </c>
      <c r="B9" s="22" t="s">
        <v>117</v>
      </c>
      <c r="C9" s="23" t="s">
        <v>40</v>
      </c>
      <c r="D9" s="22">
        <v>18.0</v>
      </c>
      <c r="E9" s="22">
        <v>8.0</v>
      </c>
      <c r="F9" s="24">
        <f t="shared" si="1"/>
        <v>144</v>
      </c>
      <c r="G9" s="24">
        <f t="shared" si="2"/>
        <v>22.8</v>
      </c>
    </row>
    <row r="10">
      <c r="A10" s="21">
        <v>46195.0</v>
      </c>
      <c r="B10" s="22" t="s">
        <v>116</v>
      </c>
      <c r="C10" s="23" t="s">
        <v>36</v>
      </c>
      <c r="D10" s="22">
        <v>60.0</v>
      </c>
      <c r="E10" s="22">
        <v>10.0</v>
      </c>
      <c r="F10" s="24">
        <f t="shared" si="1"/>
        <v>600</v>
      </c>
      <c r="G10" s="24">
        <f t="shared" si="2"/>
        <v>80</v>
      </c>
    </row>
    <row r="11">
      <c r="A11" s="21">
        <v>46195.0</v>
      </c>
      <c r="B11" s="22" t="s">
        <v>116</v>
      </c>
      <c r="C11" s="23" t="s">
        <v>36</v>
      </c>
      <c r="D11" s="22">
        <v>70.0</v>
      </c>
      <c r="E11" s="22">
        <v>10.0</v>
      </c>
      <c r="F11" s="24">
        <f t="shared" si="1"/>
        <v>700</v>
      </c>
      <c r="G11" s="24">
        <f t="shared" si="2"/>
        <v>93.3</v>
      </c>
    </row>
    <row r="12">
      <c r="A12" s="21">
        <v>46195.0</v>
      </c>
      <c r="B12" s="22" t="s">
        <v>116</v>
      </c>
      <c r="C12" s="23" t="s">
        <v>36</v>
      </c>
      <c r="D12" s="22">
        <v>70.0</v>
      </c>
      <c r="E12" s="22">
        <v>10.0</v>
      </c>
      <c r="F12" s="24">
        <f t="shared" si="1"/>
        <v>700</v>
      </c>
      <c r="G12" s="24">
        <f t="shared" si="2"/>
        <v>93.3</v>
      </c>
    </row>
    <row r="13">
      <c r="A13" s="21">
        <v>46195.0</v>
      </c>
      <c r="B13" s="22" t="s">
        <v>116</v>
      </c>
      <c r="C13" s="23" t="s">
        <v>36</v>
      </c>
      <c r="D13" s="22">
        <v>70.0</v>
      </c>
      <c r="E13" s="22">
        <v>10.0</v>
      </c>
      <c r="F13" s="24">
        <f t="shared" si="1"/>
        <v>700</v>
      </c>
      <c r="G13" s="24">
        <f t="shared" si="2"/>
        <v>93.3</v>
      </c>
    </row>
    <row r="14">
      <c r="A14" s="21">
        <v>46195.0</v>
      </c>
      <c r="B14" s="22" t="s">
        <v>117</v>
      </c>
      <c r="C14" s="23" t="s">
        <v>36</v>
      </c>
      <c r="D14" s="22">
        <v>40.0</v>
      </c>
      <c r="E14" s="22">
        <v>10.0</v>
      </c>
      <c r="F14" s="24">
        <f t="shared" si="1"/>
        <v>400</v>
      </c>
      <c r="G14" s="24">
        <f t="shared" si="2"/>
        <v>53.3</v>
      </c>
    </row>
    <row r="15">
      <c r="A15" s="21">
        <v>46195.0</v>
      </c>
      <c r="B15" s="22" t="s">
        <v>117</v>
      </c>
      <c r="C15" s="23" t="s">
        <v>36</v>
      </c>
      <c r="D15" s="22">
        <v>40.0</v>
      </c>
      <c r="E15" s="22">
        <v>12.0</v>
      </c>
      <c r="F15" s="24">
        <f t="shared" si="1"/>
        <v>480</v>
      </c>
      <c r="G15" s="24">
        <f t="shared" si="2"/>
        <v>56</v>
      </c>
    </row>
    <row r="16">
      <c r="A16" s="21">
        <v>46195.0</v>
      </c>
      <c r="B16" s="22" t="s">
        <v>117</v>
      </c>
      <c r="C16" s="23" t="s">
        <v>36</v>
      </c>
      <c r="D16" s="22">
        <v>40.0</v>
      </c>
      <c r="E16" s="22">
        <v>10.0</v>
      </c>
      <c r="F16" s="24">
        <f t="shared" si="1"/>
        <v>400</v>
      </c>
      <c r="G16" s="24">
        <f t="shared" si="2"/>
        <v>53.3</v>
      </c>
    </row>
    <row r="17">
      <c r="A17" s="21">
        <v>46195.0</v>
      </c>
      <c r="B17" s="22" t="s">
        <v>117</v>
      </c>
      <c r="C17" s="23" t="s">
        <v>36</v>
      </c>
      <c r="D17" s="22">
        <v>40.0</v>
      </c>
      <c r="E17" s="22">
        <v>12.0</v>
      </c>
      <c r="F17" s="24">
        <f t="shared" si="1"/>
        <v>480</v>
      </c>
      <c r="G17" s="24">
        <f t="shared" si="2"/>
        <v>56</v>
      </c>
    </row>
    <row r="18">
      <c r="A18" s="21">
        <v>46195.0</v>
      </c>
      <c r="B18" s="22" t="s">
        <v>116</v>
      </c>
      <c r="C18" s="23" t="s">
        <v>118</v>
      </c>
      <c r="D18" s="22">
        <v>75.0</v>
      </c>
      <c r="E18" s="22">
        <v>12.0</v>
      </c>
      <c r="F18" s="24">
        <f t="shared" si="1"/>
        <v>900</v>
      </c>
      <c r="G18" s="24">
        <f t="shared" si="2"/>
        <v>105</v>
      </c>
    </row>
    <row r="19">
      <c r="A19" s="21">
        <v>46195.0</v>
      </c>
      <c r="B19" s="22" t="s">
        <v>116</v>
      </c>
      <c r="C19" s="23" t="s">
        <v>118</v>
      </c>
      <c r="D19" s="22">
        <v>85.0</v>
      </c>
      <c r="E19" s="22">
        <v>12.0</v>
      </c>
      <c r="F19" s="24">
        <f t="shared" si="1"/>
        <v>1020</v>
      </c>
      <c r="G19" s="24">
        <f t="shared" si="2"/>
        <v>119</v>
      </c>
    </row>
    <row r="20">
      <c r="A20" s="21">
        <v>46195.0</v>
      </c>
      <c r="B20" s="22" t="s">
        <v>116</v>
      </c>
      <c r="C20" s="23" t="s">
        <v>118</v>
      </c>
      <c r="D20" s="22">
        <v>90.0</v>
      </c>
      <c r="E20" s="22">
        <v>10.0</v>
      </c>
      <c r="F20" s="24">
        <f t="shared" si="1"/>
        <v>900</v>
      </c>
      <c r="G20" s="24">
        <f t="shared" si="2"/>
        <v>120</v>
      </c>
    </row>
    <row r="21" ht="15.75" customHeight="1">
      <c r="A21" s="21">
        <v>46195.0</v>
      </c>
      <c r="B21" s="22" t="s">
        <v>117</v>
      </c>
      <c r="C21" s="23" t="s">
        <v>118</v>
      </c>
      <c r="D21" s="22">
        <v>65.0</v>
      </c>
      <c r="E21" s="22">
        <v>12.0</v>
      </c>
      <c r="F21" s="24">
        <f t="shared" si="1"/>
        <v>780</v>
      </c>
      <c r="G21" s="24">
        <f t="shared" si="2"/>
        <v>91</v>
      </c>
    </row>
    <row r="22" ht="15.75" customHeight="1">
      <c r="A22" s="21">
        <v>46195.0</v>
      </c>
      <c r="B22" s="22" t="s">
        <v>117</v>
      </c>
      <c r="C22" s="23" t="s">
        <v>118</v>
      </c>
      <c r="D22" s="22">
        <v>75.0</v>
      </c>
      <c r="E22" s="22">
        <v>12.0</v>
      </c>
      <c r="F22" s="24">
        <f t="shared" si="1"/>
        <v>900</v>
      </c>
      <c r="G22" s="24">
        <f t="shared" si="2"/>
        <v>105</v>
      </c>
    </row>
    <row r="23" ht="15.75" customHeight="1">
      <c r="A23" s="21">
        <v>46195.0</v>
      </c>
      <c r="B23" s="22" t="s">
        <v>117</v>
      </c>
      <c r="C23" s="23" t="s">
        <v>118</v>
      </c>
      <c r="D23" s="22">
        <v>80.0</v>
      </c>
      <c r="E23" s="22">
        <v>12.0</v>
      </c>
      <c r="F23" s="24">
        <f t="shared" si="1"/>
        <v>960</v>
      </c>
      <c r="G23" s="24">
        <f t="shared" si="2"/>
        <v>112</v>
      </c>
    </row>
    <row r="24" ht="15.75" customHeight="1">
      <c r="A24" s="21">
        <v>46195.0</v>
      </c>
      <c r="B24" s="22" t="s">
        <v>116</v>
      </c>
      <c r="C24" s="23" t="s">
        <v>119</v>
      </c>
      <c r="D24" s="22">
        <v>20.0</v>
      </c>
      <c r="E24" s="22">
        <v>12.0</v>
      </c>
      <c r="F24" s="24">
        <f t="shared" si="1"/>
        <v>240</v>
      </c>
      <c r="G24" s="24">
        <f t="shared" si="2"/>
        <v>28</v>
      </c>
    </row>
    <row r="25" ht="15.75" customHeight="1">
      <c r="A25" s="21">
        <v>46195.0</v>
      </c>
      <c r="B25" s="22" t="s">
        <v>116</v>
      </c>
      <c r="C25" s="23" t="s">
        <v>119</v>
      </c>
      <c r="D25" s="22">
        <v>24.0</v>
      </c>
      <c r="E25" s="22">
        <v>10.0</v>
      </c>
      <c r="F25" s="24">
        <f t="shared" si="1"/>
        <v>240</v>
      </c>
      <c r="G25" s="24">
        <f t="shared" si="2"/>
        <v>32</v>
      </c>
    </row>
    <row r="26" ht="15.75" customHeight="1">
      <c r="A26" s="21">
        <v>46195.0</v>
      </c>
      <c r="B26" s="22" t="s">
        <v>116</v>
      </c>
      <c r="C26" s="23" t="s">
        <v>119</v>
      </c>
      <c r="D26" s="22">
        <v>24.0</v>
      </c>
      <c r="E26" s="22">
        <v>9.0</v>
      </c>
      <c r="F26" s="24">
        <f t="shared" si="1"/>
        <v>216</v>
      </c>
      <c r="G26" s="24">
        <f t="shared" si="2"/>
        <v>31.2</v>
      </c>
    </row>
    <row r="27" ht="15.75" customHeight="1">
      <c r="A27" s="21">
        <v>46195.0</v>
      </c>
      <c r="B27" s="22" t="s">
        <v>117</v>
      </c>
      <c r="C27" s="23" t="s">
        <v>119</v>
      </c>
      <c r="D27" s="22">
        <v>12.0</v>
      </c>
      <c r="E27" s="22">
        <v>12.0</v>
      </c>
      <c r="F27" s="24">
        <f t="shared" si="1"/>
        <v>144</v>
      </c>
      <c r="G27" s="24">
        <f t="shared" si="2"/>
        <v>16.8</v>
      </c>
    </row>
    <row r="28" ht="15.75" customHeight="1">
      <c r="A28" s="21">
        <v>46195.0</v>
      </c>
      <c r="B28" s="22" t="s">
        <v>117</v>
      </c>
      <c r="C28" s="23" t="s">
        <v>119</v>
      </c>
      <c r="D28" s="22">
        <v>14.0</v>
      </c>
      <c r="E28" s="22">
        <v>12.0</v>
      </c>
      <c r="F28" s="24">
        <f t="shared" si="1"/>
        <v>168</v>
      </c>
      <c r="G28" s="24">
        <f t="shared" si="2"/>
        <v>19.6</v>
      </c>
    </row>
    <row r="29" ht="15.75" customHeight="1">
      <c r="A29" s="21">
        <v>46195.0</v>
      </c>
      <c r="B29" s="22" t="s">
        <v>117</v>
      </c>
      <c r="C29" s="23" t="s">
        <v>119</v>
      </c>
      <c r="D29" s="22">
        <v>14.0</v>
      </c>
      <c r="E29" s="22">
        <v>12.0</v>
      </c>
      <c r="F29" s="24">
        <f t="shared" si="1"/>
        <v>168</v>
      </c>
      <c r="G29" s="24">
        <f t="shared" si="2"/>
        <v>19.6</v>
      </c>
    </row>
    <row r="30" ht="15.75" customHeight="1">
      <c r="A30" s="21">
        <v>46195.0</v>
      </c>
      <c r="B30" s="22" t="s">
        <v>116</v>
      </c>
      <c r="C30" s="23" t="s">
        <v>48</v>
      </c>
      <c r="D30" s="22">
        <v>10.0</v>
      </c>
      <c r="E30" s="22">
        <v>12.0</v>
      </c>
      <c r="F30" s="24">
        <f t="shared" si="1"/>
        <v>120</v>
      </c>
      <c r="G30" s="24">
        <f t="shared" si="2"/>
        <v>14</v>
      </c>
    </row>
    <row r="31" ht="15.75" customHeight="1">
      <c r="A31" s="21">
        <v>46195.0</v>
      </c>
      <c r="B31" s="22" t="s">
        <v>116</v>
      </c>
      <c r="C31" s="23" t="s">
        <v>48</v>
      </c>
      <c r="D31" s="22">
        <v>10.0</v>
      </c>
      <c r="E31" s="22">
        <v>12.0</v>
      </c>
      <c r="F31" s="24">
        <f t="shared" si="1"/>
        <v>120</v>
      </c>
      <c r="G31" s="24">
        <f t="shared" si="2"/>
        <v>14</v>
      </c>
    </row>
    <row r="32" ht="15.75" customHeight="1">
      <c r="A32" s="21">
        <v>46195.0</v>
      </c>
      <c r="B32" s="22" t="s">
        <v>116</v>
      </c>
      <c r="C32" s="23" t="s">
        <v>48</v>
      </c>
      <c r="D32" s="22">
        <v>10.0</v>
      </c>
      <c r="E32" s="22">
        <v>12.0</v>
      </c>
      <c r="F32" s="24">
        <f t="shared" si="1"/>
        <v>120</v>
      </c>
      <c r="G32" s="24">
        <f t="shared" si="2"/>
        <v>14</v>
      </c>
    </row>
    <row r="33" ht="15.75" customHeight="1">
      <c r="A33" s="21">
        <v>46195.0</v>
      </c>
      <c r="B33" s="22" t="s">
        <v>117</v>
      </c>
      <c r="C33" s="23" t="s">
        <v>48</v>
      </c>
      <c r="D33" s="22">
        <v>6.0</v>
      </c>
      <c r="E33" s="22">
        <v>12.0</v>
      </c>
      <c r="F33" s="24">
        <f t="shared" si="1"/>
        <v>72</v>
      </c>
      <c r="G33" s="24">
        <f t="shared" si="2"/>
        <v>8.4</v>
      </c>
    </row>
    <row r="34" ht="15.75" customHeight="1">
      <c r="A34" s="21">
        <v>46195.0</v>
      </c>
      <c r="B34" s="22" t="s">
        <v>117</v>
      </c>
      <c r="C34" s="23" t="s">
        <v>48</v>
      </c>
      <c r="D34" s="22">
        <v>6.0</v>
      </c>
      <c r="E34" s="22">
        <v>12.0</v>
      </c>
      <c r="F34" s="24">
        <f t="shared" si="1"/>
        <v>72</v>
      </c>
      <c r="G34" s="24">
        <f t="shared" si="2"/>
        <v>8.4</v>
      </c>
    </row>
    <row r="35" ht="15.75" customHeight="1">
      <c r="A35" s="21">
        <v>46195.0</v>
      </c>
      <c r="B35" s="22" t="s">
        <v>117</v>
      </c>
      <c r="C35" s="23" t="s">
        <v>48</v>
      </c>
      <c r="D35" s="22">
        <v>6.0</v>
      </c>
      <c r="E35" s="22">
        <v>12.0</v>
      </c>
      <c r="F35" s="24">
        <f t="shared" si="1"/>
        <v>72</v>
      </c>
      <c r="G35" s="24">
        <f t="shared" si="2"/>
        <v>8.4</v>
      </c>
    </row>
    <row r="36" ht="15.75" customHeight="1">
      <c r="A36" s="21">
        <v>46195.0</v>
      </c>
      <c r="B36" s="22" t="s">
        <v>116</v>
      </c>
      <c r="C36" s="23" t="s">
        <v>120</v>
      </c>
      <c r="D36" s="22">
        <v>20.0</v>
      </c>
      <c r="E36" s="22">
        <v>10.0</v>
      </c>
      <c r="F36" s="24">
        <f t="shared" si="1"/>
        <v>200</v>
      </c>
      <c r="G36" s="24">
        <f t="shared" si="2"/>
        <v>26.7</v>
      </c>
    </row>
    <row r="37" ht="15.75" customHeight="1">
      <c r="A37" s="21">
        <v>46195.0</v>
      </c>
      <c r="B37" s="22" t="s">
        <v>116</v>
      </c>
      <c r="C37" s="23" t="s">
        <v>120</v>
      </c>
      <c r="D37" s="22">
        <v>25.0</v>
      </c>
      <c r="E37" s="22">
        <v>12.0</v>
      </c>
      <c r="F37" s="24">
        <f t="shared" si="1"/>
        <v>300</v>
      </c>
      <c r="G37" s="24">
        <f t="shared" si="2"/>
        <v>35</v>
      </c>
    </row>
    <row r="38" ht="15.75" customHeight="1">
      <c r="A38" s="21">
        <v>46195.0</v>
      </c>
      <c r="B38" s="22" t="s">
        <v>116</v>
      </c>
      <c r="C38" s="23" t="s">
        <v>120</v>
      </c>
      <c r="D38" s="22">
        <v>20.0</v>
      </c>
      <c r="E38" s="22">
        <v>10.0</v>
      </c>
      <c r="F38" s="24">
        <f t="shared" si="1"/>
        <v>200</v>
      </c>
      <c r="G38" s="24">
        <f t="shared" si="2"/>
        <v>26.7</v>
      </c>
    </row>
    <row r="39" ht="15.75" customHeight="1">
      <c r="A39" s="21">
        <v>46195.0</v>
      </c>
      <c r="B39" s="22" t="s">
        <v>117</v>
      </c>
      <c r="C39" s="23" t="s">
        <v>120</v>
      </c>
      <c r="D39" s="22">
        <v>20.0</v>
      </c>
      <c r="E39" s="22">
        <v>10.0</v>
      </c>
      <c r="F39" s="24">
        <f t="shared" si="1"/>
        <v>200</v>
      </c>
      <c r="G39" s="24">
        <f t="shared" si="2"/>
        <v>26.7</v>
      </c>
    </row>
    <row r="40" ht="15.75" customHeight="1">
      <c r="A40" s="21">
        <v>46195.0</v>
      </c>
      <c r="B40" s="22" t="s">
        <v>117</v>
      </c>
      <c r="C40" s="23" t="s">
        <v>120</v>
      </c>
      <c r="D40" s="22">
        <v>15.0</v>
      </c>
      <c r="E40" s="22">
        <v>10.0</v>
      </c>
      <c r="F40" s="24">
        <f t="shared" si="1"/>
        <v>150</v>
      </c>
      <c r="G40" s="24">
        <f t="shared" si="2"/>
        <v>20</v>
      </c>
    </row>
    <row r="41" ht="15.75" customHeight="1">
      <c r="A41" s="21">
        <v>46195.0</v>
      </c>
      <c r="B41" s="22" t="s">
        <v>117</v>
      </c>
      <c r="C41" s="23" t="s">
        <v>120</v>
      </c>
      <c r="D41" s="22">
        <v>15.0</v>
      </c>
      <c r="E41" s="22">
        <v>10.0</v>
      </c>
      <c r="F41" s="24">
        <f t="shared" si="1"/>
        <v>150</v>
      </c>
      <c r="G41" s="24">
        <f t="shared" si="2"/>
        <v>20</v>
      </c>
    </row>
    <row r="42" ht="15.75" customHeight="1">
      <c r="A42" s="21">
        <v>46195.0</v>
      </c>
      <c r="B42" s="22" t="s">
        <v>116</v>
      </c>
      <c r="C42" s="23" t="s">
        <v>54</v>
      </c>
      <c r="D42" s="22">
        <v>35.0</v>
      </c>
      <c r="E42" s="22">
        <v>15.0</v>
      </c>
      <c r="F42" s="24">
        <f t="shared" si="1"/>
        <v>525</v>
      </c>
      <c r="G42" s="24">
        <f t="shared" si="2"/>
        <v>52.5</v>
      </c>
    </row>
    <row r="43" ht="15.75" customHeight="1">
      <c r="A43" s="21">
        <v>46195.0</v>
      </c>
      <c r="B43" s="22" t="s">
        <v>116</v>
      </c>
      <c r="C43" s="23" t="s">
        <v>54</v>
      </c>
      <c r="D43" s="22">
        <v>40.0</v>
      </c>
      <c r="E43" s="22">
        <v>12.0</v>
      </c>
      <c r="F43" s="24">
        <f t="shared" si="1"/>
        <v>480</v>
      </c>
      <c r="G43" s="24">
        <f t="shared" si="2"/>
        <v>56</v>
      </c>
    </row>
    <row r="44" ht="15.75" customHeight="1">
      <c r="A44" s="21">
        <v>46195.0</v>
      </c>
      <c r="B44" s="22" t="s">
        <v>116</v>
      </c>
      <c r="C44" s="23" t="s">
        <v>54</v>
      </c>
      <c r="D44" s="22">
        <v>40.0</v>
      </c>
      <c r="E44" s="22">
        <v>10.0</v>
      </c>
      <c r="F44" s="24">
        <f t="shared" si="1"/>
        <v>400</v>
      </c>
      <c r="G44" s="24">
        <f t="shared" si="2"/>
        <v>53.3</v>
      </c>
    </row>
    <row r="45" ht="15.75" customHeight="1">
      <c r="A45" s="21">
        <v>46195.0</v>
      </c>
      <c r="B45" s="22" t="s">
        <v>117</v>
      </c>
      <c r="C45" s="23" t="s">
        <v>54</v>
      </c>
      <c r="D45" s="22">
        <v>20.0</v>
      </c>
      <c r="E45" s="22">
        <v>12.0</v>
      </c>
      <c r="F45" s="24">
        <f t="shared" si="1"/>
        <v>240</v>
      </c>
      <c r="G45" s="24">
        <f t="shared" si="2"/>
        <v>28</v>
      </c>
    </row>
    <row r="46" ht="15.75" customHeight="1">
      <c r="A46" s="21">
        <v>46195.0</v>
      </c>
      <c r="B46" s="22" t="s">
        <v>117</v>
      </c>
      <c r="C46" s="23" t="s">
        <v>54</v>
      </c>
      <c r="D46" s="22">
        <v>25.0</v>
      </c>
      <c r="E46" s="22">
        <v>12.0</v>
      </c>
      <c r="F46" s="24">
        <f t="shared" si="1"/>
        <v>300</v>
      </c>
      <c r="G46" s="24">
        <f t="shared" si="2"/>
        <v>35</v>
      </c>
    </row>
    <row r="47" ht="15.75" customHeight="1">
      <c r="A47" s="21">
        <v>46195.0</v>
      </c>
      <c r="B47" s="22" t="s">
        <v>117</v>
      </c>
      <c r="C47" s="23" t="s">
        <v>54</v>
      </c>
      <c r="D47" s="22">
        <v>25.0</v>
      </c>
      <c r="E47" s="22">
        <v>12.0</v>
      </c>
      <c r="F47" s="24">
        <f t="shared" si="1"/>
        <v>300</v>
      </c>
      <c r="G47" s="24">
        <f t="shared" si="2"/>
        <v>35</v>
      </c>
    </row>
    <row r="48" ht="15.75" customHeight="1">
      <c r="A48" s="21">
        <v>46195.0</v>
      </c>
      <c r="B48" s="22" t="s">
        <v>116</v>
      </c>
      <c r="C48" s="23" t="s">
        <v>121</v>
      </c>
      <c r="D48" s="22">
        <v>5.0</v>
      </c>
      <c r="E48" s="22">
        <v>10.0</v>
      </c>
      <c r="F48" s="24">
        <f t="shared" si="1"/>
        <v>50</v>
      </c>
      <c r="G48" s="24">
        <f t="shared" si="2"/>
        <v>6.7</v>
      </c>
    </row>
    <row r="49" ht="15.75" customHeight="1">
      <c r="A49" s="21">
        <v>46195.0</v>
      </c>
      <c r="B49" s="22" t="s">
        <v>116</v>
      </c>
      <c r="C49" s="23" t="s">
        <v>121</v>
      </c>
      <c r="D49" s="22">
        <v>5.0</v>
      </c>
      <c r="E49" s="22">
        <v>10.0</v>
      </c>
      <c r="F49" s="24">
        <f t="shared" si="1"/>
        <v>50</v>
      </c>
      <c r="G49" s="24">
        <f t="shared" si="2"/>
        <v>6.7</v>
      </c>
    </row>
    <row r="50" ht="15.75" customHeight="1">
      <c r="A50" s="21">
        <v>46195.0</v>
      </c>
      <c r="B50" s="22" t="s">
        <v>117</v>
      </c>
      <c r="C50" s="23" t="s">
        <v>121</v>
      </c>
      <c r="D50" s="22">
        <v>5.0</v>
      </c>
      <c r="E50" s="22">
        <v>12.0</v>
      </c>
      <c r="F50" s="24">
        <f t="shared" si="1"/>
        <v>60</v>
      </c>
      <c r="G50" s="24">
        <f t="shared" si="2"/>
        <v>7</v>
      </c>
    </row>
    <row r="51" ht="15.75" customHeight="1">
      <c r="A51" s="21">
        <v>46195.0</v>
      </c>
      <c r="B51" s="22" t="s">
        <v>117</v>
      </c>
      <c r="C51" s="23" t="s">
        <v>121</v>
      </c>
      <c r="D51" s="22">
        <v>5.0</v>
      </c>
      <c r="E51" s="22">
        <v>12.0</v>
      </c>
      <c r="F51" s="24">
        <f t="shared" si="1"/>
        <v>60</v>
      </c>
      <c r="G51" s="24">
        <f t="shared" si="2"/>
        <v>7</v>
      </c>
    </row>
    <row r="52" ht="15.75" customHeight="1">
      <c r="A52" s="21">
        <v>46196.0</v>
      </c>
      <c r="B52" s="22" t="s">
        <v>117</v>
      </c>
      <c r="C52" s="23" t="s">
        <v>122</v>
      </c>
      <c r="D52" s="22">
        <v>30.0</v>
      </c>
      <c r="E52" s="22">
        <v>8.0</v>
      </c>
      <c r="F52" s="24">
        <f t="shared" si="1"/>
        <v>240</v>
      </c>
      <c r="G52" s="24">
        <f t="shared" si="2"/>
        <v>38</v>
      </c>
    </row>
    <row r="53" ht="15.75" customHeight="1">
      <c r="A53" s="21">
        <v>46196.0</v>
      </c>
      <c r="B53" s="22" t="s">
        <v>117</v>
      </c>
      <c r="C53" s="23" t="s">
        <v>122</v>
      </c>
      <c r="D53" s="22">
        <v>40.0</v>
      </c>
      <c r="E53" s="22">
        <v>10.0</v>
      </c>
      <c r="F53" s="24">
        <f t="shared" si="1"/>
        <v>400</v>
      </c>
      <c r="G53" s="24">
        <f t="shared" si="2"/>
        <v>53.3</v>
      </c>
    </row>
    <row r="54" ht="15.75" customHeight="1">
      <c r="A54" s="21">
        <v>46196.0</v>
      </c>
      <c r="B54" s="22" t="s">
        <v>117</v>
      </c>
      <c r="C54" s="23" t="s">
        <v>122</v>
      </c>
      <c r="D54" s="22">
        <v>50.0</v>
      </c>
      <c r="E54" s="22">
        <v>10.0</v>
      </c>
      <c r="F54" s="24">
        <f t="shared" si="1"/>
        <v>500</v>
      </c>
      <c r="G54" s="24">
        <f t="shared" si="2"/>
        <v>66.7</v>
      </c>
    </row>
    <row r="55" ht="15.75" customHeight="1">
      <c r="A55" s="21">
        <v>46196.0</v>
      </c>
      <c r="B55" s="22" t="s">
        <v>117</v>
      </c>
      <c r="C55" s="23" t="s">
        <v>122</v>
      </c>
      <c r="D55" s="22">
        <v>50.0</v>
      </c>
      <c r="E55" s="22">
        <v>10.0</v>
      </c>
      <c r="F55" s="24">
        <f t="shared" si="1"/>
        <v>500</v>
      </c>
      <c r="G55" s="24">
        <f t="shared" si="2"/>
        <v>66.7</v>
      </c>
    </row>
    <row r="56" ht="15.75" customHeight="1">
      <c r="A56" s="21">
        <v>46196.0</v>
      </c>
      <c r="B56" s="22" t="s">
        <v>116</v>
      </c>
      <c r="C56" s="23" t="s">
        <v>122</v>
      </c>
      <c r="D56" s="22">
        <v>30.0</v>
      </c>
      <c r="E56" s="22">
        <v>10.0</v>
      </c>
      <c r="F56" s="24">
        <f t="shared" si="1"/>
        <v>300</v>
      </c>
      <c r="G56" s="24">
        <f t="shared" si="2"/>
        <v>40</v>
      </c>
    </row>
    <row r="57" ht="15.75" customHeight="1">
      <c r="A57" s="21">
        <v>46196.0</v>
      </c>
      <c r="B57" s="22" t="s">
        <v>116</v>
      </c>
      <c r="C57" s="23" t="s">
        <v>122</v>
      </c>
      <c r="D57" s="22">
        <v>80.0</v>
      </c>
      <c r="E57" s="22">
        <v>10.0</v>
      </c>
      <c r="F57" s="24">
        <f t="shared" si="1"/>
        <v>800</v>
      </c>
      <c r="G57" s="24">
        <f t="shared" si="2"/>
        <v>106.7</v>
      </c>
    </row>
    <row r="58" ht="15.75" customHeight="1">
      <c r="A58" s="21">
        <v>46196.0</v>
      </c>
      <c r="B58" s="22" t="s">
        <v>116</v>
      </c>
      <c r="C58" s="23" t="s">
        <v>122</v>
      </c>
      <c r="D58" s="22">
        <v>100.0</v>
      </c>
      <c r="E58" s="22">
        <v>10.0</v>
      </c>
      <c r="F58" s="24">
        <f t="shared" si="1"/>
        <v>1000</v>
      </c>
      <c r="G58" s="24">
        <f t="shared" si="2"/>
        <v>133.3</v>
      </c>
    </row>
    <row r="59" ht="15.75" customHeight="1">
      <c r="A59" s="21">
        <v>46196.0</v>
      </c>
      <c r="B59" s="22" t="s">
        <v>116</v>
      </c>
      <c r="C59" s="23" t="s">
        <v>122</v>
      </c>
      <c r="D59" s="22">
        <v>120.0</v>
      </c>
      <c r="E59" s="22">
        <v>6.0</v>
      </c>
      <c r="F59" s="24">
        <f t="shared" si="1"/>
        <v>720</v>
      </c>
      <c r="G59" s="24">
        <f t="shared" si="2"/>
        <v>144</v>
      </c>
    </row>
    <row r="60" ht="15.75" customHeight="1">
      <c r="A60" s="21">
        <v>46196.0</v>
      </c>
      <c r="B60" s="22" t="s">
        <v>117</v>
      </c>
      <c r="C60" s="23" t="s">
        <v>123</v>
      </c>
      <c r="D60" s="22">
        <v>12.0</v>
      </c>
      <c r="E60" s="22">
        <v>12.0</v>
      </c>
      <c r="F60" s="24">
        <f t="shared" si="1"/>
        <v>144</v>
      </c>
      <c r="G60" s="24">
        <f t="shared" si="2"/>
        <v>16.8</v>
      </c>
    </row>
    <row r="61" ht="15.75" customHeight="1">
      <c r="A61" s="21">
        <v>46196.0</v>
      </c>
      <c r="B61" s="22" t="s">
        <v>117</v>
      </c>
      <c r="C61" s="23" t="s">
        <v>123</v>
      </c>
      <c r="D61" s="22">
        <v>16.0</v>
      </c>
      <c r="E61" s="22">
        <v>12.0</v>
      </c>
      <c r="F61" s="24">
        <f t="shared" si="1"/>
        <v>192</v>
      </c>
      <c r="G61" s="24">
        <f t="shared" si="2"/>
        <v>22.4</v>
      </c>
    </row>
    <row r="62" ht="15.75" customHeight="1">
      <c r="A62" s="21">
        <v>46196.0</v>
      </c>
      <c r="B62" s="22" t="s">
        <v>117</v>
      </c>
      <c r="C62" s="23" t="s">
        <v>123</v>
      </c>
      <c r="D62" s="22">
        <v>16.0</v>
      </c>
      <c r="E62" s="22">
        <v>12.0</v>
      </c>
      <c r="F62" s="24">
        <f t="shared" si="1"/>
        <v>192</v>
      </c>
      <c r="G62" s="24">
        <f t="shared" si="2"/>
        <v>22.4</v>
      </c>
    </row>
    <row r="63" ht="15.75" customHeight="1">
      <c r="A63" s="21">
        <v>46196.0</v>
      </c>
      <c r="B63" s="22" t="s">
        <v>116</v>
      </c>
      <c r="C63" s="23" t="s">
        <v>123</v>
      </c>
      <c r="D63" s="22">
        <v>12.0</v>
      </c>
      <c r="E63" s="22">
        <v>12.0</v>
      </c>
      <c r="F63" s="24">
        <f t="shared" si="1"/>
        <v>144</v>
      </c>
      <c r="G63" s="24">
        <f t="shared" si="2"/>
        <v>16.8</v>
      </c>
    </row>
    <row r="64" ht="15.75" customHeight="1">
      <c r="A64" s="21">
        <v>46196.0</v>
      </c>
      <c r="B64" s="22" t="s">
        <v>116</v>
      </c>
      <c r="C64" s="23" t="s">
        <v>123</v>
      </c>
      <c r="D64" s="22">
        <v>20.0</v>
      </c>
      <c r="E64" s="22">
        <v>12.0</v>
      </c>
      <c r="F64" s="24">
        <f t="shared" si="1"/>
        <v>240</v>
      </c>
      <c r="G64" s="24">
        <f t="shared" si="2"/>
        <v>28</v>
      </c>
    </row>
    <row r="65" ht="15.75" customHeight="1">
      <c r="A65" s="21">
        <v>46196.0</v>
      </c>
      <c r="B65" s="22" t="s">
        <v>116</v>
      </c>
      <c r="C65" s="23" t="s">
        <v>123</v>
      </c>
      <c r="D65" s="22">
        <v>24.0</v>
      </c>
      <c r="E65" s="22">
        <v>12.0</v>
      </c>
      <c r="F65" s="24">
        <f t="shared" si="1"/>
        <v>288</v>
      </c>
      <c r="G65" s="24">
        <f t="shared" si="2"/>
        <v>33.6</v>
      </c>
    </row>
    <row r="66" ht="15.75" customHeight="1">
      <c r="A66" s="21">
        <v>46196.0</v>
      </c>
      <c r="B66" s="22" t="s">
        <v>117</v>
      </c>
      <c r="C66" s="23" t="s">
        <v>124</v>
      </c>
      <c r="D66" s="22">
        <v>30.0</v>
      </c>
      <c r="E66" s="22">
        <v>10.0</v>
      </c>
      <c r="F66" s="24">
        <f t="shared" si="1"/>
        <v>300</v>
      </c>
      <c r="G66" s="24">
        <f t="shared" si="2"/>
        <v>40</v>
      </c>
    </row>
    <row r="67" ht="15.75" customHeight="1">
      <c r="A67" s="21">
        <v>46196.0</v>
      </c>
      <c r="B67" s="22" t="s">
        <v>117</v>
      </c>
      <c r="C67" s="23" t="s">
        <v>124</v>
      </c>
      <c r="D67" s="22">
        <v>40.0</v>
      </c>
      <c r="E67" s="22">
        <v>10.0</v>
      </c>
      <c r="F67" s="24">
        <f t="shared" si="1"/>
        <v>400</v>
      </c>
      <c r="G67" s="24">
        <f t="shared" si="2"/>
        <v>53.3</v>
      </c>
    </row>
    <row r="68" ht="15.75" customHeight="1">
      <c r="A68" s="21">
        <v>46196.0</v>
      </c>
      <c r="B68" s="22" t="s">
        <v>117</v>
      </c>
      <c r="C68" s="23" t="s">
        <v>124</v>
      </c>
      <c r="D68" s="22">
        <v>40.0</v>
      </c>
      <c r="E68" s="22">
        <v>10.0</v>
      </c>
      <c r="F68" s="24">
        <f t="shared" si="1"/>
        <v>400</v>
      </c>
      <c r="G68" s="24">
        <f t="shared" si="2"/>
        <v>53.3</v>
      </c>
    </row>
    <row r="69" ht="15.75" customHeight="1">
      <c r="A69" s="21">
        <v>46196.0</v>
      </c>
      <c r="B69" s="22" t="s">
        <v>116</v>
      </c>
      <c r="C69" s="23" t="s">
        <v>124</v>
      </c>
      <c r="D69" s="22">
        <v>60.0</v>
      </c>
      <c r="E69" s="22">
        <v>10.0</v>
      </c>
      <c r="F69" s="24">
        <f t="shared" si="1"/>
        <v>600</v>
      </c>
      <c r="G69" s="24">
        <f t="shared" si="2"/>
        <v>80</v>
      </c>
    </row>
    <row r="70" ht="15.75" customHeight="1">
      <c r="A70" s="21">
        <v>46196.0</v>
      </c>
      <c r="B70" s="22" t="s">
        <v>116</v>
      </c>
      <c r="C70" s="23" t="s">
        <v>124</v>
      </c>
      <c r="D70" s="22">
        <v>60.0</v>
      </c>
      <c r="E70" s="22">
        <v>10.0</v>
      </c>
      <c r="F70" s="24">
        <f t="shared" si="1"/>
        <v>600</v>
      </c>
      <c r="G70" s="24">
        <f t="shared" si="2"/>
        <v>80</v>
      </c>
    </row>
    <row r="71" ht="15.75" customHeight="1">
      <c r="A71" s="21">
        <v>46196.0</v>
      </c>
      <c r="B71" s="22" t="s">
        <v>116</v>
      </c>
      <c r="C71" s="23" t="s">
        <v>124</v>
      </c>
      <c r="D71" s="22">
        <v>60.0</v>
      </c>
      <c r="E71" s="22">
        <v>10.0</v>
      </c>
      <c r="F71" s="24">
        <f t="shared" si="1"/>
        <v>600</v>
      </c>
      <c r="G71" s="24">
        <f t="shared" si="2"/>
        <v>80</v>
      </c>
    </row>
    <row r="72" ht="15.75" customHeight="1">
      <c r="A72" s="21">
        <v>46196.0</v>
      </c>
      <c r="B72" s="22" t="s">
        <v>117</v>
      </c>
      <c r="C72" s="23" t="s">
        <v>125</v>
      </c>
      <c r="D72" s="22">
        <v>50.0</v>
      </c>
      <c r="E72" s="22">
        <v>12.0</v>
      </c>
      <c r="F72" s="24">
        <f t="shared" si="1"/>
        <v>600</v>
      </c>
      <c r="G72" s="24">
        <f t="shared" si="2"/>
        <v>70</v>
      </c>
    </row>
    <row r="73" ht="15.75" customHeight="1">
      <c r="A73" s="21">
        <v>46196.0</v>
      </c>
      <c r="B73" s="22" t="s">
        <v>117</v>
      </c>
      <c r="C73" s="23" t="s">
        <v>125</v>
      </c>
      <c r="D73" s="22">
        <v>45.0</v>
      </c>
      <c r="E73" s="22">
        <v>12.0</v>
      </c>
      <c r="F73" s="24">
        <f t="shared" si="1"/>
        <v>540</v>
      </c>
      <c r="G73" s="24">
        <f t="shared" si="2"/>
        <v>63</v>
      </c>
    </row>
    <row r="74" ht="15.75" customHeight="1">
      <c r="A74" s="21">
        <v>46196.0</v>
      </c>
      <c r="B74" s="22" t="s">
        <v>117</v>
      </c>
      <c r="C74" s="23" t="s">
        <v>125</v>
      </c>
      <c r="D74" s="22">
        <v>45.0</v>
      </c>
      <c r="E74" s="22">
        <v>12.0</v>
      </c>
      <c r="F74" s="24">
        <f t="shared" si="1"/>
        <v>540</v>
      </c>
      <c r="G74" s="24">
        <f t="shared" si="2"/>
        <v>63</v>
      </c>
    </row>
    <row r="75" ht="15.75" customHeight="1">
      <c r="A75" s="21">
        <v>46196.0</v>
      </c>
      <c r="B75" s="22" t="s">
        <v>116</v>
      </c>
      <c r="C75" s="23" t="s">
        <v>125</v>
      </c>
      <c r="D75" s="22">
        <v>50.0</v>
      </c>
      <c r="E75" s="22">
        <v>12.0</v>
      </c>
      <c r="F75" s="24">
        <f t="shared" si="1"/>
        <v>600</v>
      </c>
      <c r="G75" s="24">
        <f t="shared" si="2"/>
        <v>70</v>
      </c>
    </row>
    <row r="76" ht="15.75" customHeight="1">
      <c r="A76" s="21">
        <v>46196.0</v>
      </c>
      <c r="B76" s="22" t="s">
        <v>116</v>
      </c>
      <c r="C76" s="23" t="s">
        <v>125</v>
      </c>
      <c r="D76" s="22">
        <v>45.0</v>
      </c>
      <c r="E76" s="22">
        <v>15.0</v>
      </c>
      <c r="F76" s="24">
        <f t="shared" si="1"/>
        <v>675</v>
      </c>
      <c r="G76" s="24">
        <f t="shared" si="2"/>
        <v>67.5</v>
      </c>
    </row>
    <row r="77" ht="15.75" customHeight="1">
      <c r="A77" s="21">
        <v>46196.0</v>
      </c>
      <c r="B77" s="22" t="s">
        <v>116</v>
      </c>
      <c r="C77" s="23" t="s">
        <v>125</v>
      </c>
      <c r="D77" s="22">
        <v>50.0</v>
      </c>
      <c r="E77" s="22">
        <v>12.0</v>
      </c>
      <c r="F77" s="24">
        <f t="shared" si="1"/>
        <v>600</v>
      </c>
      <c r="G77" s="24">
        <f t="shared" si="2"/>
        <v>70</v>
      </c>
    </row>
    <row r="78" ht="15.75" customHeight="1">
      <c r="A78" s="21">
        <v>46196.0</v>
      </c>
      <c r="B78" s="22" t="s">
        <v>117</v>
      </c>
      <c r="C78" s="23" t="s">
        <v>126</v>
      </c>
      <c r="D78" s="22">
        <v>20.0</v>
      </c>
      <c r="E78" s="22">
        <v>12.0</v>
      </c>
      <c r="F78" s="24">
        <f t="shared" si="1"/>
        <v>240</v>
      </c>
      <c r="G78" s="24">
        <f t="shared" si="2"/>
        <v>28</v>
      </c>
    </row>
    <row r="79" ht="15.75" customHeight="1">
      <c r="A79" s="21">
        <v>46196.0</v>
      </c>
      <c r="B79" s="22" t="s">
        <v>117</v>
      </c>
      <c r="C79" s="23" t="s">
        <v>126</v>
      </c>
      <c r="D79" s="22">
        <v>25.0</v>
      </c>
      <c r="E79" s="22">
        <v>12.0</v>
      </c>
      <c r="F79" s="24">
        <f t="shared" si="1"/>
        <v>300</v>
      </c>
      <c r="G79" s="24">
        <f t="shared" si="2"/>
        <v>35</v>
      </c>
    </row>
    <row r="80" ht="15.75" customHeight="1">
      <c r="A80" s="21">
        <v>46196.0</v>
      </c>
      <c r="B80" s="22" t="s">
        <v>117</v>
      </c>
      <c r="C80" s="23" t="s">
        <v>126</v>
      </c>
      <c r="D80" s="22">
        <v>25.0</v>
      </c>
      <c r="E80" s="22">
        <v>12.0</v>
      </c>
      <c r="F80" s="24">
        <f t="shared" si="1"/>
        <v>300</v>
      </c>
      <c r="G80" s="24">
        <f t="shared" si="2"/>
        <v>35</v>
      </c>
    </row>
    <row r="81" ht="15.75" customHeight="1">
      <c r="A81" s="21">
        <v>46196.0</v>
      </c>
      <c r="B81" s="22" t="s">
        <v>116</v>
      </c>
      <c r="C81" s="23" t="s">
        <v>126</v>
      </c>
      <c r="D81" s="22">
        <v>25.0</v>
      </c>
      <c r="E81" s="22">
        <v>12.0</v>
      </c>
      <c r="F81" s="24">
        <f t="shared" si="1"/>
        <v>300</v>
      </c>
      <c r="G81" s="24">
        <f t="shared" si="2"/>
        <v>35</v>
      </c>
    </row>
    <row r="82" ht="15.75" customHeight="1">
      <c r="A82" s="21">
        <v>46196.0</v>
      </c>
      <c r="B82" s="22" t="s">
        <v>116</v>
      </c>
      <c r="C82" s="23" t="s">
        <v>126</v>
      </c>
      <c r="D82" s="22">
        <v>30.0</v>
      </c>
      <c r="E82" s="22">
        <v>12.0</v>
      </c>
      <c r="F82" s="24">
        <f t="shared" si="1"/>
        <v>360</v>
      </c>
      <c r="G82" s="24">
        <f t="shared" si="2"/>
        <v>42</v>
      </c>
    </row>
    <row r="83" ht="15.75" customHeight="1">
      <c r="A83" s="21">
        <v>46196.0</v>
      </c>
      <c r="B83" s="22" t="s">
        <v>116</v>
      </c>
      <c r="C83" s="23" t="s">
        <v>126</v>
      </c>
      <c r="D83" s="22">
        <v>30.0</v>
      </c>
      <c r="E83" s="22">
        <v>12.0</v>
      </c>
      <c r="F83" s="24">
        <f t="shared" si="1"/>
        <v>360</v>
      </c>
      <c r="G83" s="24">
        <f t="shared" si="2"/>
        <v>42</v>
      </c>
    </row>
    <row r="84" ht="15.75" customHeight="1">
      <c r="A84" s="21">
        <v>46196.0</v>
      </c>
      <c r="B84" s="22" t="s">
        <v>117</v>
      </c>
      <c r="C84" s="23" t="s">
        <v>103</v>
      </c>
      <c r="D84" s="22">
        <v>40.0</v>
      </c>
      <c r="E84" s="22">
        <v>16.0</v>
      </c>
      <c r="F84" s="24">
        <f t="shared" si="1"/>
        <v>640</v>
      </c>
      <c r="G84" s="24">
        <f t="shared" si="2"/>
        <v>61.3</v>
      </c>
    </row>
    <row r="85" ht="15.75" customHeight="1">
      <c r="A85" s="21">
        <v>46196.0</v>
      </c>
      <c r="B85" s="22" t="s">
        <v>117</v>
      </c>
      <c r="C85" s="23" t="s">
        <v>103</v>
      </c>
      <c r="D85" s="22">
        <v>50.0</v>
      </c>
      <c r="E85" s="22">
        <v>14.0</v>
      </c>
      <c r="F85" s="24">
        <f t="shared" si="1"/>
        <v>700</v>
      </c>
      <c r="G85" s="24">
        <f t="shared" si="2"/>
        <v>73.3</v>
      </c>
    </row>
    <row r="86" ht="15.75" customHeight="1">
      <c r="A86" s="21">
        <v>46196.0</v>
      </c>
      <c r="B86" s="22" t="s">
        <v>117</v>
      </c>
      <c r="C86" s="23" t="s">
        <v>103</v>
      </c>
      <c r="D86" s="22">
        <v>50.0</v>
      </c>
      <c r="E86" s="22">
        <v>14.0</v>
      </c>
      <c r="F86" s="24">
        <f t="shared" si="1"/>
        <v>700</v>
      </c>
      <c r="G86" s="24">
        <f t="shared" si="2"/>
        <v>73.3</v>
      </c>
    </row>
    <row r="87" ht="15.75" customHeight="1">
      <c r="A87" s="21">
        <v>46196.0</v>
      </c>
      <c r="B87" s="22" t="s">
        <v>117</v>
      </c>
      <c r="C87" s="23" t="s">
        <v>103</v>
      </c>
      <c r="D87" s="22">
        <v>50.0</v>
      </c>
      <c r="E87" s="22">
        <v>14.0</v>
      </c>
      <c r="F87" s="24">
        <f t="shared" si="1"/>
        <v>700</v>
      </c>
      <c r="G87" s="24">
        <f t="shared" si="2"/>
        <v>73.3</v>
      </c>
    </row>
    <row r="88" ht="15.75" customHeight="1">
      <c r="A88" s="21">
        <v>46196.0</v>
      </c>
      <c r="B88" s="22" t="s">
        <v>116</v>
      </c>
      <c r="C88" s="23" t="s">
        <v>103</v>
      </c>
      <c r="D88" s="22">
        <v>40.0</v>
      </c>
      <c r="E88" s="22">
        <v>20.0</v>
      </c>
      <c r="F88" s="24">
        <f t="shared" si="1"/>
        <v>800</v>
      </c>
      <c r="G88" s="24">
        <f t="shared" si="2"/>
        <v>66.7</v>
      </c>
    </row>
    <row r="89" ht="15.75" customHeight="1">
      <c r="A89" s="21">
        <v>46196.0</v>
      </c>
      <c r="B89" s="22" t="s">
        <v>116</v>
      </c>
      <c r="C89" s="23" t="s">
        <v>103</v>
      </c>
      <c r="D89" s="22">
        <v>50.0</v>
      </c>
      <c r="E89" s="22">
        <v>18.0</v>
      </c>
      <c r="F89" s="24">
        <f t="shared" si="1"/>
        <v>900</v>
      </c>
      <c r="G89" s="24">
        <f t="shared" si="2"/>
        <v>80</v>
      </c>
    </row>
    <row r="90" ht="15.75" customHeight="1">
      <c r="A90" s="21">
        <v>46196.0</v>
      </c>
      <c r="B90" s="22" t="s">
        <v>116</v>
      </c>
      <c r="C90" s="23" t="s">
        <v>103</v>
      </c>
      <c r="D90" s="22">
        <v>50.0</v>
      </c>
      <c r="E90" s="22">
        <v>20.0</v>
      </c>
      <c r="F90" s="24">
        <f t="shared" si="1"/>
        <v>1000</v>
      </c>
      <c r="G90" s="24">
        <f t="shared" si="2"/>
        <v>83.3</v>
      </c>
    </row>
    <row r="91" ht="15.75" customHeight="1">
      <c r="A91" s="21">
        <v>46196.0</v>
      </c>
      <c r="B91" s="22" t="s">
        <v>116</v>
      </c>
      <c r="C91" s="23" t="s">
        <v>103</v>
      </c>
      <c r="D91" s="22">
        <v>50.0</v>
      </c>
      <c r="E91" s="22">
        <v>16.0</v>
      </c>
      <c r="F91" s="24">
        <f t="shared" si="1"/>
        <v>800</v>
      </c>
      <c r="G91" s="24">
        <f t="shared" si="2"/>
        <v>76.7</v>
      </c>
    </row>
    <row r="92" ht="15.75" customHeight="1">
      <c r="A92" s="21">
        <v>46196.0</v>
      </c>
      <c r="B92" s="22" t="s">
        <v>117</v>
      </c>
      <c r="C92" s="23" t="s">
        <v>77</v>
      </c>
      <c r="D92" s="22"/>
      <c r="E92" s="22">
        <v>12.0</v>
      </c>
      <c r="F92" s="24" t="str">
        <f t="shared" si="1"/>
        <v/>
      </c>
      <c r="G92" s="24" t="str">
        <f t="shared" si="2"/>
        <v/>
      </c>
    </row>
    <row r="93" ht="15.75" customHeight="1">
      <c r="A93" s="21">
        <v>46196.0</v>
      </c>
      <c r="B93" s="22" t="s">
        <v>117</v>
      </c>
      <c r="C93" s="23" t="s">
        <v>77</v>
      </c>
      <c r="D93" s="22"/>
      <c r="E93" s="22">
        <v>12.0</v>
      </c>
      <c r="F93" s="24" t="str">
        <f t="shared" si="1"/>
        <v/>
      </c>
      <c r="G93" s="24" t="str">
        <f t="shared" si="2"/>
        <v/>
      </c>
    </row>
    <row r="94" ht="15.75" customHeight="1">
      <c r="A94" s="21">
        <v>46196.0</v>
      </c>
      <c r="B94" s="22" t="s">
        <v>117</v>
      </c>
      <c r="C94" s="23" t="s">
        <v>77</v>
      </c>
      <c r="D94" s="22"/>
      <c r="E94" s="22">
        <v>12.0</v>
      </c>
      <c r="F94" s="24" t="str">
        <f t="shared" si="1"/>
        <v/>
      </c>
      <c r="G94" s="24" t="str">
        <f t="shared" si="2"/>
        <v/>
      </c>
    </row>
    <row r="95" ht="15.75" customHeight="1">
      <c r="A95" s="22"/>
      <c r="B95" s="22"/>
      <c r="C95" s="25"/>
      <c r="D95" s="22"/>
      <c r="E95" s="22"/>
      <c r="F95" s="24" t="str">
        <f t="shared" si="1"/>
        <v/>
      </c>
      <c r="G95" s="24" t="str">
        <f t="shared" si="2"/>
        <v/>
      </c>
    </row>
    <row r="96" ht="15.75" customHeight="1">
      <c r="A96" s="22"/>
      <c r="B96" s="22"/>
      <c r="C96" s="25"/>
      <c r="D96" s="22"/>
      <c r="E96" s="22"/>
      <c r="F96" s="24" t="str">
        <f t="shared" si="1"/>
        <v/>
      </c>
      <c r="G96" s="24" t="str">
        <f t="shared" si="2"/>
        <v/>
      </c>
    </row>
    <row r="97" ht="15.75" customHeight="1">
      <c r="A97" s="22"/>
      <c r="B97" s="22"/>
      <c r="C97" s="25"/>
      <c r="D97" s="22"/>
      <c r="E97" s="22"/>
      <c r="F97" s="24" t="str">
        <f t="shared" si="1"/>
        <v/>
      </c>
      <c r="G97" s="24" t="str">
        <f t="shared" si="2"/>
        <v/>
      </c>
    </row>
    <row r="98" ht="15.75" customHeight="1">
      <c r="A98" s="22"/>
      <c r="B98" s="22"/>
      <c r="C98" s="25"/>
      <c r="D98" s="22"/>
      <c r="E98" s="22"/>
      <c r="F98" s="24" t="str">
        <f t="shared" si="1"/>
        <v/>
      </c>
      <c r="G98" s="24" t="str">
        <f t="shared" si="2"/>
        <v/>
      </c>
    </row>
    <row r="99" ht="15.75" customHeight="1">
      <c r="A99" s="22"/>
      <c r="B99" s="22"/>
      <c r="C99" s="25"/>
      <c r="D99" s="22"/>
      <c r="E99" s="22"/>
      <c r="F99" s="24" t="str">
        <f t="shared" si="1"/>
        <v/>
      </c>
      <c r="G99" s="24" t="str">
        <f t="shared" si="2"/>
        <v/>
      </c>
    </row>
    <row r="100" ht="15.75" customHeight="1">
      <c r="A100" s="22"/>
      <c r="B100" s="22"/>
      <c r="C100" s="25"/>
      <c r="D100" s="22"/>
      <c r="E100" s="22"/>
      <c r="F100" s="24" t="str">
        <f t="shared" si="1"/>
        <v/>
      </c>
      <c r="G100" s="24" t="str">
        <f t="shared" si="2"/>
        <v/>
      </c>
    </row>
    <row r="101" ht="15.75" customHeight="1">
      <c r="A101" s="22"/>
      <c r="B101" s="22"/>
      <c r="C101" s="25"/>
      <c r="D101" s="22"/>
      <c r="E101" s="22"/>
      <c r="F101" s="24" t="str">
        <f t="shared" si="1"/>
        <v/>
      </c>
      <c r="G101" s="24" t="str">
        <f t="shared" si="2"/>
        <v/>
      </c>
    </row>
    <row r="102" ht="15.75" customHeight="1">
      <c r="A102" s="22"/>
      <c r="B102" s="22"/>
      <c r="C102" s="25"/>
      <c r="D102" s="22"/>
      <c r="E102" s="22"/>
      <c r="F102" s="24" t="str">
        <f t="shared" si="1"/>
        <v/>
      </c>
      <c r="G102" s="24" t="str">
        <f t="shared" si="2"/>
        <v/>
      </c>
    </row>
    <row r="103" ht="15.75" customHeight="1">
      <c r="A103" s="22"/>
      <c r="B103" s="22"/>
      <c r="C103" s="25"/>
      <c r="D103" s="22"/>
      <c r="E103" s="22"/>
      <c r="F103" s="24" t="str">
        <f t="shared" si="1"/>
        <v/>
      </c>
      <c r="G103" s="24" t="str">
        <f t="shared" si="2"/>
        <v/>
      </c>
    </row>
    <row r="104" ht="15.75" customHeight="1">
      <c r="A104" s="22"/>
      <c r="B104" s="22"/>
      <c r="C104" s="25"/>
      <c r="D104" s="22"/>
      <c r="E104" s="22"/>
      <c r="F104" s="24" t="str">
        <f t="shared" si="1"/>
        <v/>
      </c>
      <c r="G104" s="24" t="str">
        <f t="shared" si="2"/>
        <v/>
      </c>
    </row>
    <row r="105" ht="15.75" customHeight="1">
      <c r="A105" s="22"/>
      <c r="B105" s="22"/>
      <c r="C105" s="25"/>
      <c r="D105" s="22"/>
      <c r="E105" s="22"/>
      <c r="F105" s="24" t="str">
        <f t="shared" si="1"/>
        <v/>
      </c>
      <c r="G105" s="24" t="str">
        <f t="shared" si="2"/>
        <v/>
      </c>
    </row>
    <row r="106" ht="15.75" customHeight="1">
      <c r="A106" s="22"/>
      <c r="B106" s="22"/>
      <c r="C106" s="25"/>
      <c r="D106" s="22"/>
      <c r="E106" s="22"/>
      <c r="F106" s="24" t="str">
        <f t="shared" si="1"/>
        <v/>
      </c>
      <c r="G106" s="24" t="str">
        <f t="shared" si="2"/>
        <v/>
      </c>
    </row>
    <row r="107" ht="15.75" customHeight="1">
      <c r="A107" s="22"/>
      <c r="B107" s="22"/>
      <c r="C107" s="25"/>
      <c r="D107" s="22"/>
      <c r="E107" s="22"/>
      <c r="F107" s="24" t="str">
        <f t="shared" si="1"/>
        <v/>
      </c>
      <c r="G107" s="24" t="str">
        <f t="shared" si="2"/>
        <v/>
      </c>
    </row>
    <row r="108" ht="15.75" customHeight="1">
      <c r="A108" s="22"/>
      <c r="B108" s="22"/>
      <c r="C108" s="25"/>
      <c r="D108" s="22"/>
      <c r="E108" s="22"/>
      <c r="F108" s="24" t="str">
        <f t="shared" si="1"/>
        <v/>
      </c>
      <c r="G108" s="24" t="str">
        <f t="shared" si="2"/>
        <v/>
      </c>
    </row>
    <row r="109" ht="15.75" customHeight="1">
      <c r="A109" s="22"/>
      <c r="B109" s="22"/>
      <c r="C109" s="25"/>
      <c r="D109" s="22"/>
      <c r="E109" s="22"/>
      <c r="F109" s="24" t="str">
        <f t="shared" si="1"/>
        <v/>
      </c>
      <c r="G109" s="24" t="str">
        <f t="shared" si="2"/>
        <v/>
      </c>
    </row>
    <row r="110" ht="15.75" customHeight="1">
      <c r="A110" s="22"/>
      <c r="B110" s="22"/>
      <c r="C110" s="25"/>
      <c r="D110" s="22"/>
      <c r="E110" s="22"/>
      <c r="F110" s="24" t="str">
        <f t="shared" si="1"/>
        <v/>
      </c>
      <c r="G110" s="24" t="str">
        <f t="shared" si="2"/>
        <v/>
      </c>
    </row>
    <row r="111" ht="15.75" customHeight="1">
      <c r="A111" s="22"/>
      <c r="B111" s="22"/>
      <c r="C111" s="25"/>
      <c r="D111" s="22"/>
      <c r="E111" s="22"/>
      <c r="F111" s="24" t="str">
        <f t="shared" si="1"/>
        <v/>
      </c>
      <c r="G111" s="24" t="str">
        <f t="shared" si="2"/>
        <v/>
      </c>
    </row>
    <row r="112" ht="15.75" customHeight="1">
      <c r="A112" s="22"/>
      <c r="B112" s="22"/>
      <c r="C112" s="25"/>
      <c r="D112" s="22"/>
      <c r="E112" s="22"/>
      <c r="F112" s="24" t="str">
        <f t="shared" si="1"/>
        <v/>
      </c>
      <c r="G112" s="24" t="str">
        <f t="shared" si="2"/>
        <v/>
      </c>
    </row>
    <row r="113" ht="15.75" customHeight="1">
      <c r="A113" s="22"/>
      <c r="B113" s="22"/>
      <c r="C113" s="25"/>
      <c r="D113" s="22"/>
      <c r="E113" s="22"/>
      <c r="F113" s="24" t="str">
        <f t="shared" si="1"/>
        <v/>
      </c>
      <c r="G113" s="24" t="str">
        <f t="shared" si="2"/>
        <v/>
      </c>
    </row>
    <row r="114" ht="15.75" customHeight="1">
      <c r="A114" s="22"/>
      <c r="B114" s="22"/>
      <c r="C114" s="25"/>
      <c r="D114" s="22"/>
      <c r="E114" s="22"/>
      <c r="F114" s="24" t="str">
        <f t="shared" si="1"/>
        <v/>
      </c>
      <c r="G114" s="24" t="str">
        <f t="shared" si="2"/>
        <v/>
      </c>
    </row>
    <row r="115" ht="15.75" customHeight="1">
      <c r="A115" s="22"/>
      <c r="B115" s="22"/>
      <c r="C115" s="25"/>
      <c r="D115" s="22"/>
      <c r="E115" s="22"/>
      <c r="F115" s="24" t="str">
        <f t="shared" si="1"/>
        <v/>
      </c>
      <c r="G115" s="24" t="str">
        <f t="shared" si="2"/>
        <v/>
      </c>
    </row>
    <row r="116" ht="15.75" customHeight="1">
      <c r="A116" s="22"/>
      <c r="B116" s="22"/>
      <c r="C116" s="25"/>
      <c r="D116" s="22"/>
      <c r="E116" s="22"/>
      <c r="F116" s="24" t="str">
        <f t="shared" si="1"/>
        <v/>
      </c>
      <c r="G116" s="24" t="str">
        <f t="shared" si="2"/>
        <v/>
      </c>
    </row>
    <row r="117" ht="15.75" customHeight="1">
      <c r="A117" s="22"/>
      <c r="B117" s="22"/>
      <c r="C117" s="25"/>
      <c r="D117" s="22"/>
      <c r="E117" s="22"/>
      <c r="F117" s="24" t="str">
        <f t="shared" si="1"/>
        <v/>
      </c>
      <c r="G117" s="24" t="str">
        <f t="shared" si="2"/>
        <v/>
      </c>
    </row>
    <row r="118" ht="15.75" customHeight="1">
      <c r="A118" s="22"/>
      <c r="B118" s="22"/>
      <c r="C118" s="25"/>
      <c r="D118" s="22"/>
      <c r="E118" s="22"/>
      <c r="F118" s="24" t="str">
        <f t="shared" si="1"/>
        <v/>
      </c>
      <c r="G118" s="24" t="str">
        <f t="shared" si="2"/>
        <v/>
      </c>
    </row>
    <row r="119" ht="15.75" customHeight="1">
      <c r="A119" s="22"/>
      <c r="B119" s="22"/>
      <c r="C119" s="25"/>
      <c r="D119" s="22"/>
      <c r="E119" s="22"/>
      <c r="F119" s="24" t="str">
        <f t="shared" si="1"/>
        <v/>
      </c>
      <c r="G119" s="24" t="str">
        <f t="shared" si="2"/>
        <v/>
      </c>
    </row>
    <row r="120" ht="15.75" customHeight="1">
      <c r="A120" s="22"/>
      <c r="B120" s="22"/>
      <c r="C120" s="25"/>
      <c r="D120" s="22"/>
      <c r="E120" s="22"/>
      <c r="F120" s="24" t="str">
        <f t="shared" si="1"/>
        <v/>
      </c>
      <c r="G120" s="24" t="str">
        <f t="shared" si="2"/>
        <v/>
      </c>
    </row>
    <row r="121" ht="15.75" customHeight="1">
      <c r="A121" s="22"/>
      <c r="B121" s="22"/>
      <c r="C121" s="25"/>
      <c r="D121" s="22"/>
      <c r="E121" s="22"/>
      <c r="F121" s="24" t="str">
        <f t="shared" si="1"/>
        <v/>
      </c>
      <c r="G121" s="24" t="str">
        <f t="shared" si="2"/>
        <v/>
      </c>
    </row>
    <row r="122" ht="15.75" customHeight="1">
      <c r="A122" s="22"/>
      <c r="B122" s="22"/>
      <c r="C122" s="25"/>
      <c r="D122" s="22"/>
      <c r="E122" s="22"/>
      <c r="F122" s="24" t="str">
        <f t="shared" si="1"/>
        <v/>
      </c>
      <c r="G122" s="24" t="str">
        <f t="shared" si="2"/>
        <v/>
      </c>
    </row>
    <row r="123" ht="15.75" customHeight="1">
      <c r="A123" s="22"/>
      <c r="B123" s="22"/>
      <c r="C123" s="25"/>
      <c r="D123" s="22"/>
      <c r="E123" s="22"/>
      <c r="F123" s="24" t="str">
        <f t="shared" si="1"/>
        <v/>
      </c>
      <c r="G123" s="24" t="str">
        <f t="shared" si="2"/>
        <v/>
      </c>
    </row>
    <row r="124" ht="15.75" customHeight="1">
      <c r="A124" s="22"/>
      <c r="B124" s="22"/>
      <c r="C124" s="25"/>
      <c r="D124" s="22"/>
      <c r="E124" s="22"/>
      <c r="F124" s="24" t="str">
        <f t="shared" si="1"/>
        <v/>
      </c>
      <c r="G124" s="24" t="str">
        <f t="shared" si="2"/>
        <v/>
      </c>
    </row>
    <row r="125" ht="15.75" customHeight="1">
      <c r="A125" s="22"/>
      <c r="B125" s="22"/>
      <c r="C125" s="25"/>
      <c r="D125" s="22"/>
      <c r="E125" s="22"/>
      <c r="F125" s="24" t="str">
        <f t="shared" si="1"/>
        <v/>
      </c>
      <c r="G125" s="24" t="str">
        <f t="shared" si="2"/>
        <v/>
      </c>
    </row>
    <row r="126" ht="15.75" customHeight="1">
      <c r="A126" s="22"/>
      <c r="B126" s="22"/>
      <c r="C126" s="25"/>
      <c r="D126" s="22"/>
      <c r="E126" s="22"/>
      <c r="F126" s="24" t="str">
        <f t="shared" si="1"/>
        <v/>
      </c>
      <c r="G126" s="24" t="str">
        <f t="shared" si="2"/>
        <v/>
      </c>
    </row>
    <row r="127" ht="15.75" customHeight="1">
      <c r="A127" s="22"/>
      <c r="B127" s="22"/>
      <c r="C127" s="25"/>
      <c r="D127" s="22"/>
      <c r="E127" s="22"/>
      <c r="F127" s="24" t="str">
        <f t="shared" si="1"/>
        <v/>
      </c>
      <c r="G127" s="24" t="str">
        <f t="shared" si="2"/>
        <v/>
      </c>
    </row>
    <row r="128" ht="15.75" customHeight="1">
      <c r="A128" s="22"/>
      <c r="B128" s="22"/>
      <c r="C128" s="25"/>
      <c r="D128" s="22"/>
      <c r="E128" s="22"/>
      <c r="F128" s="24" t="str">
        <f t="shared" si="1"/>
        <v/>
      </c>
      <c r="G128" s="24" t="str">
        <f t="shared" si="2"/>
        <v/>
      </c>
    </row>
    <row r="129" ht="15.75" customHeight="1">
      <c r="A129" s="22"/>
      <c r="B129" s="22"/>
      <c r="C129" s="25"/>
      <c r="D129" s="22"/>
      <c r="E129" s="22"/>
      <c r="F129" s="24" t="str">
        <f t="shared" si="1"/>
        <v/>
      </c>
      <c r="G129" s="24" t="str">
        <f t="shared" si="2"/>
        <v/>
      </c>
    </row>
    <row r="130" ht="15.75" customHeight="1">
      <c r="A130" s="22"/>
      <c r="B130" s="22"/>
      <c r="C130" s="25"/>
      <c r="D130" s="22"/>
      <c r="E130" s="22"/>
      <c r="F130" s="24" t="str">
        <f t="shared" si="1"/>
        <v/>
      </c>
      <c r="G130" s="24" t="str">
        <f t="shared" si="2"/>
        <v/>
      </c>
    </row>
    <row r="131" ht="15.75" customHeight="1">
      <c r="A131" s="22"/>
      <c r="B131" s="22"/>
      <c r="C131" s="25"/>
      <c r="D131" s="22"/>
      <c r="E131" s="22"/>
      <c r="F131" s="24" t="str">
        <f t="shared" si="1"/>
        <v/>
      </c>
      <c r="G131" s="24" t="str">
        <f t="shared" si="2"/>
        <v/>
      </c>
    </row>
    <row r="132" ht="15.75" customHeight="1">
      <c r="A132" s="22"/>
      <c r="B132" s="22"/>
      <c r="C132" s="25"/>
      <c r="D132" s="22"/>
      <c r="E132" s="22"/>
      <c r="F132" s="24" t="str">
        <f t="shared" si="1"/>
        <v/>
      </c>
      <c r="G132" s="24" t="str">
        <f t="shared" si="2"/>
        <v/>
      </c>
    </row>
    <row r="133" ht="15.75" customHeight="1">
      <c r="A133" s="22"/>
      <c r="B133" s="22"/>
      <c r="C133" s="25"/>
      <c r="D133" s="22"/>
      <c r="E133" s="22"/>
      <c r="F133" s="24" t="str">
        <f t="shared" si="1"/>
        <v/>
      </c>
      <c r="G133" s="24" t="str">
        <f t="shared" si="2"/>
        <v/>
      </c>
    </row>
    <row r="134" ht="15.75" customHeight="1">
      <c r="A134" s="22"/>
      <c r="B134" s="22"/>
      <c r="C134" s="25"/>
      <c r="D134" s="22"/>
      <c r="E134" s="22"/>
      <c r="F134" s="24" t="str">
        <f t="shared" si="1"/>
        <v/>
      </c>
      <c r="G134" s="24" t="str">
        <f t="shared" si="2"/>
        <v/>
      </c>
    </row>
    <row r="135" ht="15.75" customHeight="1">
      <c r="A135" s="22"/>
      <c r="B135" s="22"/>
      <c r="C135" s="25"/>
      <c r="D135" s="22"/>
      <c r="E135" s="22"/>
      <c r="F135" s="24" t="str">
        <f t="shared" si="1"/>
        <v/>
      </c>
      <c r="G135" s="24" t="str">
        <f t="shared" si="2"/>
        <v/>
      </c>
    </row>
    <row r="136" ht="15.75" customHeight="1">
      <c r="A136" s="22"/>
      <c r="B136" s="22"/>
      <c r="C136" s="25"/>
      <c r="D136" s="22"/>
      <c r="E136" s="22"/>
      <c r="F136" s="24" t="str">
        <f t="shared" si="1"/>
        <v/>
      </c>
      <c r="G136" s="24" t="str">
        <f t="shared" si="2"/>
        <v/>
      </c>
    </row>
    <row r="137" ht="15.75" customHeight="1">
      <c r="A137" s="22"/>
      <c r="B137" s="22"/>
      <c r="C137" s="25"/>
      <c r="D137" s="22"/>
      <c r="E137" s="22"/>
      <c r="F137" s="24" t="str">
        <f t="shared" si="1"/>
        <v/>
      </c>
      <c r="G137" s="24" t="str">
        <f t="shared" si="2"/>
        <v/>
      </c>
    </row>
    <row r="138" ht="15.75" customHeight="1">
      <c r="A138" s="22"/>
      <c r="B138" s="22"/>
      <c r="C138" s="25"/>
      <c r="D138" s="22"/>
      <c r="E138" s="22"/>
      <c r="F138" s="24" t="str">
        <f t="shared" si="1"/>
        <v/>
      </c>
      <c r="G138" s="24" t="str">
        <f t="shared" si="2"/>
        <v/>
      </c>
    </row>
    <row r="139" ht="15.75" customHeight="1">
      <c r="A139" s="22"/>
      <c r="B139" s="22"/>
      <c r="C139" s="25"/>
      <c r="D139" s="22"/>
      <c r="E139" s="22"/>
      <c r="F139" s="24" t="str">
        <f t="shared" si="1"/>
        <v/>
      </c>
      <c r="G139" s="24" t="str">
        <f t="shared" si="2"/>
        <v/>
      </c>
    </row>
    <row r="140" ht="15.75" customHeight="1">
      <c r="A140" s="22"/>
      <c r="B140" s="22"/>
      <c r="C140" s="25"/>
      <c r="D140" s="22"/>
      <c r="E140" s="22"/>
      <c r="F140" s="24" t="str">
        <f t="shared" si="1"/>
        <v/>
      </c>
      <c r="G140" s="24" t="str">
        <f t="shared" si="2"/>
        <v/>
      </c>
    </row>
    <row r="141" ht="15.75" customHeight="1">
      <c r="A141" s="22"/>
      <c r="B141" s="22"/>
      <c r="C141" s="25"/>
      <c r="D141" s="22"/>
      <c r="E141" s="22"/>
      <c r="F141" s="24" t="str">
        <f t="shared" si="1"/>
        <v/>
      </c>
      <c r="G141" s="24" t="str">
        <f t="shared" si="2"/>
        <v/>
      </c>
    </row>
    <row r="142" ht="15.75" customHeight="1">
      <c r="A142" s="22"/>
      <c r="B142" s="22"/>
      <c r="C142" s="25"/>
      <c r="D142" s="22"/>
      <c r="E142" s="22"/>
      <c r="F142" s="24" t="str">
        <f t="shared" si="1"/>
        <v/>
      </c>
      <c r="G142" s="24" t="str">
        <f t="shared" si="2"/>
        <v/>
      </c>
    </row>
    <row r="143" ht="15.75" customHeight="1">
      <c r="A143" s="22"/>
      <c r="B143" s="22"/>
      <c r="C143" s="25"/>
      <c r="D143" s="22"/>
      <c r="E143" s="22"/>
      <c r="F143" s="24" t="str">
        <f t="shared" si="1"/>
        <v/>
      </c>
      <c r="G143" s="24" t="str">
        <f t="shared" si="2"/>
        <v/>
      </c>
    </row>
    <row r="144" ht="15.75" customHeight="1">
      <c r="A144" s="22"/>
      <c r="B144" s="22"/>
      <c r="C144" s="25"/>
      <c r="D144" s="22"/>
      <c r="E144" s="22"/>
      <c r="F144" s="24" t="str">
        <f t="shared" si="1"/>
        <v/>
      </c>
      <c r="G144" s="24" t="str">
        <f t="shared" si="2"/>
        <v/>
      </c>
    </row>
    <row r="145" ht="15.75" customHeight="1">
      <c r="A145" s="22"/>
      <c r="B145" s="22"/>
      <c r="C145" s="25"/>
      <c r="D145" s="22"/>
      <c r="E145" s="22"/>
      <c r="F145" s="24" t="str">
        <f t="shared" si="1"/>
        <v/>
      </c>
      <c r="G145" s="24" t="str">
        <f t="shared" si="2"/>
        <v/>
      </c>
    </row>
    <row r="146" ht="15.75" customHeight="1">
      <c r="A146" s="22"/>
      <c r="B146" s="22"/>
      <c r="C146" s="25"/>
      <c r="D146" s="22"/>
      <c r="E146" s="22"/>
      <c r="F146" s="24" t="str">
        <f t="shared" si="1"/>
        <v/>
      </c>
      <c r="G146" s="24" t="str">
        <f t="shared" si="2"/>
        <v/>
      </c>
    </row>
    <row r="147" ht="15.75" customHeight="1">
      <c r="A147" s="22"/>
      <c r="B147" s="22"/>
      <c r="C147" s="25"/>
      <c r="D147" s="22"/>
      <c r="E147" s="22"/>
      <c r="F147" s="24" t="str">
        <f t="shared" si="1"/>
        <v/>
      </c>
      <c r="G147" s="24" t="str">
        <f t="shared" si="2"/>
        <v/>
      </c>
    </row>
    <row r="148" ht="15.75" customHeight="1">
      <c r="A148" s="22"/>
      <c r="B148" s="22"/>
      <c r="C148" s="25"/>
      <c r="D148" s="22"/>
      <c r="E148" s="22"/>
      <c r="F148" s="24" t="str">
        <f t="shared" si="1"/>
        <v/>
      </c>
      <c r="G148" s="24" t="str">
        <f t="shared" si="2"/>
        <v/>
      </c>
    </row>
    <row r="149" ht="15.75" customHeight="1">
      <c r="A149" s="22"/>
      <c r="B149" s="22"/>
      <c r="C149" s="25"/>
      <c r="D149" s="22"/>
      <c r="E149" s="22"/>
      <c r="F149" s="24" t="str">
        <f t="shared" si="1"/>
        <v/>
      </c>
      <c r="G149" s="24" t="str">
        <f t="shared" si="2"/>
        <v/>
      </c>
    </row>
    <row r="150" ht="15.75" customHeight="1">
      <c r="A150" s="22"/>
      <c r="B150" s="22"/>
      <c r="C150" s="25"/>
      <c r="D150" s="22"/>
      <c r="E150" s="22"/>
      <c r="F150" s="24" t="str">
        <f t="shared" si="1"/>
        <v/>
      </c>
      <c r="G150" s="24" t="str">
        <f t="shared" si="2"/>
        <v/>
      </c>
    </row>
    <row r="151" ht="15.75" customHeight="1">
      <c r="A151" s="22"/>
      <c r="B151" s="22"/>
      <c r="C151" s="25"/>
      <c r="D151" s="22"/>
      <c r="E151" s="22"/>
      <c r="F151" s="24" t="str">
        <f t="shared" si="1"/>
        <v/>
      </c>
      <c r="G151" s="24" t="str">
        <f t="shared" si="2"/>
        <v/>
      </c>
    </row>
    <row r="152" ht="15.75" customHeight="1">
      <c r="A152" s="22"/>
      <c r="B152" s="22"/>
      <c r="C152" s="25"/>
      <c r="D152" s="22"/>
      <c r="E152" s="22"/>
      <c r="F152" s="24" t="str">
        <f t="shared" si="1"/>
        <v/>
      </c>
      <c r="G152" s="24" t="str">
        <f t="shared" si="2"/>
        <v/>
      </c>
    </row>
    <row r="153" ht="15.75" customHeight="1">
      <c r="A153" s="22"/>
      <c r="B153" s="22"/>
      <c r="C153" s="25"/>
      <c r="D153" s="22"/>
      <c r="E153" s="22"/>
      <c r="F153" s="24" t="str">
        <f t="shared" si="1"/>
        <v/>
      </c>
      <c r="G153" s="24" t="str">
        <f t="shared" si="2"/>
        <v/>
      </c>
    </row>
    <row r="154" ht="15.75" customHeight="1">
      <c r="A154" s="22"/>
      <c r="B154" s="22"/>
      <c r="C154" s="25"/>
      <c r="D154" s="22"/>
      <c r="E154" s="22"/>
      <c r="F154" s="24" t="str">
        <f t="shared" si="1"/>
        <v/>
      </c>
      <c r="G154" s="24" t="str">
        <f t="shared" si="2"/>
        <v/>
      </c>
    </row>
    <row r="155" ht="15.75" customHeight="1">
      <c r="A155" s="22"/>
      <c r="B155" s="22"/>
      <c r="C155" s="25"/>
      <c r="D155" s="22"/>
      <c r="E155" s="22"/>
      <c r="F155" s="24" t="str">
        <f t="shared" si="1"/>
        <v/>
      </c>
      <c r="G155" s="24" t="str">
        <f t="shared" si="2"/>
        <v/>
      </c>
    </row>
    <row r="156" ht="15.75" customHeight="1">
      <c r="A156" s="22"/>
      <c r="B156" s="22"/>
      <c r="C156" s="25"/>
      <c r="D156" s="22"/>
      <c r="E156" s="22"/>
      <c r="F156" s="24" t="str">
        <f t="shared" si="1"/>
        <v/>
      </c>
      <c r="G156" s="24" t="str">
        <f t="shared" si="2"/>
        <v/>
      </c>
    </row>
    <row r="157" ht="15.75" customHeight="1">
      <c r="A157" s="22"/>
      <c r="B157" s="22"/>
      <c r="C157" s="25"/>
      <c r="D157" s="22"/>
      <c r="E157" s="22"/>
      <c r="F157" s="24" t="str">
        <f t="shared" si="1"/>
        <v/>
      </c>
      <c r="G157" s="24" t="str">
        <f t="shared" si="2"/>
        <v/>
      </c>
    </row>
    <row r="158" ht="15.75" customHeight="1">
      <c r="A158" s="22"/>
      <c r="B158" s="22"/>
      <c r="C158" s="25"/>
      <c r="D158" s="22"/>
      <c r="E158" s="22"/>
      <c r="F158" s="24" t="str">
        <f t="shared" si="1"/>
        <v/>
      </c>
      <c r="G158" s="24" t="str">
        <f t="shared" si="2"/>
        <v/>
      </c>
    </row>
    <row r="159" ht="15.75" customHeight="1">
      <c r="A159" s="22"/>
      <c r="B159" s="22"/>
      <c r="C159" s="25"/>
      <c r="D159" s="22"/>
      <c r="E159" s="22"/>
      <c r="F159" s="24" t="str">
        <f t="shared" si="1"/>
        <v/>
      </c>
      <c r="G159" s="24" t="str">
        <f t="shared" si="2"/>
        <v/>
      </c>
    </row>
    <row r="160" ht="15.75" customHeight="1">
      <c r="A160" s="22"/>
      <c r="B160" s="22"/>
      <c r="C160" s="25"/>
      <c r="D160" s="22"/>
      <c r="E160" s="22"/>
      <c r="F160" s="24" t="str">
        <f t="shared" si="1"/>
        <v/>
      </c>
      <c r="G160" s="24" t="str">
        <f t="shared" si="2"/>
        <v/>
      </c>
    </row>
    <row r="161" ht="15.75" customHeight="1">
      <c r="A161" s="22"/>
      <c r="B161" s="22"/>
      <c r="C161" s="25"/>
      <c r="D161" s="22"/>
      <c r="E161" s="22"/>
      <c r="F161" s="24" t="str">
        <f t="shared" si="1"/>
        <v/>
      </c>
      <c r="G161" s="24" t="str">
        <f t="shared" si="2"/>
        <v/>
      </c>
    </row>
    <row r="162" ht="15.75" customHeight="1">
      <c r="A162" s="22"/>
      <c r="B162" s="22"/>
      <c r="C162" s="25"/>
      <c r="D162" s="22"/>
      <c r="E162" s="22"/>
      <c r="F162" s="24" t="str">
        <f t="shared" si="1"/>
        <v/>
      </c>
      <c r="G162" s="24" t="str">
        <f t="shared" si="2"/>
        <v/>
      </c>
    </row>
    <row r="163" ht="15.75" customHeight="1">
      <c r="A163" s="22"/>
      <c r="B163" s="22"/>
      <c r="C163" s="25"/>
      <c r="D163" s="22"/>
      <c r="E163" s="22"/>
      <c r="F163" s="24" t="str">
        <f t="shared" si="1"/>
        <v/>
      </c>
      <c r="G163" s="24" t="str">
        <f t="shared" si="2"/>
        <v/>
      </c>
    </row>
    <row r="164" ht="15.75" customHeight="1">
      <c r="A164" s="22"/>
      <c r="B164" s="22"/>
      <c r="C164" s="25"/>
      <c r="D164" s="22"/>
      <c r="E164" s="22"/>
      <c r="F164" s="24" t="str">
        <f t="shared" si="1"/>
        <v/>
      </c>
      <c r="G164" s="24" t="str">
        <f t="shared" si="2"/>
        <v/>
      </c>
    </row>
    <row r="165" ht="15.75" customHeight="1">
      <c r="A165" s="22"/>
      <c r="B165" s="22"/>
      <c r="C165" s="25"/>
      <c r="D165" s="22"/>
      <c r="E165" s="22"/>
      <c r="F165" s="24" t="str">
        <f t="shared" si="1"/>
        <v/>
      </c>
      <c r="G165" s="24" t="str">
        <f t="shared" si="2"/>
        <v/>
      </c>
    </row>
    <row r="166" ht="15.75" customHeight="1">
      <c r="A166" s="22"/>
      <c r="B166" s="22"/>
      <c r="C166" s="25"/>
      <c r="D166" s="22"/>
      <c r="E166" s="22"/>
      <c r="F166" s="24" t="str">
        <f t="shared" si="1"/>
        <v/>
      </c>
      <c r="G166" s="24" t="str">
        <f t="shared" si="2"/>
        <v/>
      </c>
    </row>
    <row r="167" ht="15.75" customHeight="1">
      <c r="A167" s="22"/>
      <c r="B167" s="22"/>
      <c r="C167" s="25"/>
      <c r="D167" s="22"/>
      <c r="E167" s="22"/>
      <c r="F167" s="24" t="str">
        <f t="shared" si="1"/>
        <v/>
      </c>
      <c r="G167" s="24" t="str">
        <f t="shared" si="2"/>
        <v/>
      </c>
    </row>
    <row r="168" ht="15.75" customHeight="1">
      <c r="A168" s="22"/>
      <c r="B168" s="22"/>
      <c r="C168" s="25"/>
      <c r="D168" s="22"/>
      <c r="E168" s="22"/>
      <c r="F168" s="24" t="str">
        <f t="shared" si="1"/>
        <v/>
      </c>
      <c r="G168" s="24" t="str">
        <f t="shared" si="2"/>
        <v/>
      </c>
    </row>
    <row r="169" ht="15.75" customHeight="1">
      <c r="A169" s="22"/>
      <c r="B169" s="22"/>
      <c r="C169" s="25"/>
      <c r="D169" s="22"/>
      <c r="E169" s="22"/>
      <c r="F169" s="24" t="str">
        <f t="shared" si="1"/>
        <v/>
      </c>
      <c r="G169" s="24" t="str">
        <f t="shared" si="2"/>
        <v/>
      </c>
    </row>
    <row r="170" ht="15.75" customHeight="1">
      <c r="A170" s="22"/>
      <c r="B170" s="22"/>
      <c r="C170" s="25"/>
      <c r="D170" s="22"/>
      <c r="E170" s="22"/>
      <c r="F170" s="24" t="str">
        <f t="shared" si="1"/>
        <v/>
      </c>
      <c r="G170" s="24" t="str">
        <f t="shared" si="2"/>
        <v/>
      </c>
    </row>
    <row r="171" ht="15.75" customHeight="1">
      <c r="A171" s="22"/>
      <c r="B171" s="22"/>
      <c r="C171" s="25"/>
      <c r="D171" s="22"/>
      <c r="E171" s="22"/>
      <c r="F171" s="24" t="str">
        <f t="shared" si="1"/>
        <v/>
      </c>
      <c r="G171" s="24" t="str">
        <f t="shared" si="2"/>
        <v/>
      </c>
    </row>
    <row r="172" ht="15.75" customHeight="1">
      <c r="A172" s="22"/>
      <c r="B172" s="22"/>
      <c r="C172" s="25"/>
      <c r="D172" s="22"/>
      <c r="E172" s="22"/>
      <c r="F172" s="24" t="str">
        <f t="shared" si="1"/>
        <v/>
      </c>
      <c r="G172" s="24" t="str">
        <f t="shared" si="2"/>
        <v/>
      </c>
    </row>
    <row r="173" ht="15.75" customHeight="1">
      <c r="A173" s="22"/>
      <c r="B173" s="22"/>
      <c r="C173" s="25"/>
      <c r="D173" s="22"/>
      <c r="E173" s="22"/>
      <c r="F173" s="24" t="str">
        <f t="shared" si="1"/>
        <v/>
      </c>
      <c r="G173" s="24" t="str">
        <f t="shared" si="2"/>
        <v/>
      </c>
    </row>
    <row r="174" ht="15.75" customHeight="1">
      <c r="A174" s="22"/>
      <c r="B174" s="22"/>
      <c r="C174" s="25"/>
      <c r="D174" s="22"/>
      <c r="E174" s="22"/>
      <c r="F174" s="24" t="str">
        <f t="shared" si="1"/>
        <v/>
      </c>
      <c r="G174" s="24" t="str">
        <f t="shared" si="2"/>
        <v/>
      </c>
    </row>
    <row r="175" ht="15.75" customHeight="1">
      <c r="A175" s="22"/>
      <c r="B175" s="22"/>
      <c r="C175" s="25"/>
      <c r="D175" s="22"/>
      <c r="E175" s="22"/>
      <c r="F175" s="24" t="str">
        <f t="shared" si="1"/>
        <v/>
      </c>
      <c r="G175" s="24" t="str">
        <f t="shared" si="2"/>
        <v/>
      </c>
    </row>
    <row r="176" ht="15.75" customHeight="1">
      <c r="A176" s="22"/>
      <c r="B176" s="22"/>
      <c r="C176" s="25"/>
      <c r="D176" s="22"/>
      <c r="E176" s="22"/>
      <c r="F176" s="24" t="str">
        <f t="shared" si="1"/>
        <v/>
      </c>
      <c r="G176" s="24" t="str">
        <f t="shared" si="2"/>
        <v/>
      </c>
    </row>
    <row r="177" ht="15.75" customHeight="1">
      <c r="A177" s="22"/>
      <c r="B177" s="22"/>
      <c r="C177" s="25"/>
      <c r="D177" s="22"/>
      <c r="E177" s="22"/>
      <c r="F177" s="24" t="str">
        <f t="shared" si="1"/>
        <v/>
      </c>
      <c r="G177" s="24" t="str">
        <f t="shared" si="2"/>
        <v/>
      </c>
    </row>
    <row r="178" ht="15.75" customHeight="1">
      <c r="A178" s="22"/>
      <c r="B178" s="22"/>
      <c r="C178" s="25"/>
      <c r="D178" s="22"/>
      <c r="E178" s="22"/>
      <c r="F178" s="24" t="str">
        <f t="shared" si="1"/>
        <v/>
      </c>
      <c r="G178" s="24" t="str">
        <f t="shared" si="2"/>
        <v/>
      </c>
    </row>
    <row r="179" ht="15.75" customHeight="1">
      <c r="A179" s="22"/>
      <c r="B179" s="22"/>
      <c r="C179" s="25"/>
      <c r="D179" s="22"/>
      <c r="E179" s="22"/>
      <c r="F179" s="24" t="str">
        <f t="shared" si="1"/>
        <v/>
      </c>
      <c r="G179" s="24" t="str">
        <f t="shared" si="2"/>
        <v/>
      </c>
    </row>
    <row r="180" ht="15.75" customHeight="1">
      <c r="A180" s="22"/>
      <c r="B180" s="22"/>
      <c r="C180" s="25"/>
      <c r="D180" s="22"/>
      <c r="E180" s="22"/>
      <c r="F180" s="24" t="str">
        <f t="shared" si="1"/>
        <v/>
      </c>
      <c r="G180" s="24" t="str">
        <f t="shared" si="2"/>
        <v/>
      </c>
    </row>
    <row r="181" ht="15.75" customHeight="1">
      <c r="A181" s="22"/>
      <c r="B181" s="22"/>
      <c r="C181" s="25"/>
      <c r="D181" s="22"/>
      <c r="E181" s="22"/>
      <c r="F181" s="24" t="str">
        <f t="shared" si="1"/>
        <v/>
      </c>
      <c r="G181" s="24" t="str">
        <f t="shared" si="2"/>
        <v/>
      </c>
    </row>
    <row r="182" ht="15.75" customHeight="1">
      <c r="A182" s="22"/>
      <c r="B182" s="22"/>
      <c r="C182" s="25"/>
      <c r="D182" s="22"/>
      <c r="E182" s="22"/>
      <c r="F182" s="24" t="str">
        <f t="shared" si="1"/>
        <v/>
      </c>
      <c r="G182" s="24" t="str">
        <f t="shared" si="2"/>
        <v/>
      </c>
    </row>
    <row r="183" ht="15.75" customHeight="1">
      <c r="A183" s="22"/>
      <c r="B183" s="22"/>
      <c r="C183" s="25"/>
      <c r="D183" s="22"/>
      <c r="E183" s="22"/>
      <c r="F183" s="24" t="str">
        <f t="shared" si="1"/>
        <v/>
      </c>
      <c r="G183" s="24" t="str">
        <f t="shared" si="2"/>
        <v/>
      </c>
    </row>
    <row r="184" ht="15.75" customHeight="1">
      <c r="A184" s="22"/>
      <c r="B184" s="22"/>
      <c r="C184" s="25"/>
      <c r="D184" s="22"/>
      <c r="E184" s="22"/>
      <c r="F184" s="24" t="str">
        <f t="shared" si="1"/>
        <v/>
      </c>
      <c r="G184" s="24" t="str">
        <f t="shared" si="2"/>
        <v/>
      </c>
    </row>
    <row r="185" ht="15.75" customHeight="1">
      <c r="A185" s="22"/>
      <c r="B185" s="22"/>
      <c r="C185" s="25"/>
      <c r="D185" s="22"/>
      <c r="E185" s="22"/>
      <c r="F185" s="24" t="str">
        <f t="shared" si="1"/>
        <v/>
      </c>
      <c r="G185" s="24" t="str">
        <f t="shared" si="2"/>
        <v/>
      </c>
    </row>
    <row r="186" ht="15.75" customHeight="1">
      <c r="A186" s="22"/>
      <c r="B186" s="22"/>
      <c r="C186" s="25"/>
      <c r="D186" s="22"/>
      <c r="E186" s="22"/>
      <c r="F186" s="24" t="str">
        <f t="shared" si="1"/>
        <v/>
      </c>
      <c r="G186" s="24" t="str">
        <f t="shared" si="2"/>
        <v/>
      </c>
    </row>
    <row r="187" ht="15.75" customHeight="1">
      <c r="A187" s="22"/>
      <c r="B187" s="22"/>
      <c r="C187" s="25"/>
      <c r="D187" s="22"/>
      <c r="E187" s="22"/>
      <c r="F187" s="24" t="str">
        <f t="shared" si="1"/>
        <v/>
      </c>
      <c r="G187" s="24" t="str">
        <f t="shared" si="2"/>
        <v/>
      </c>
    </row>
    <row r="188" ht="15.75" customHeight="1">
      <c r="A188" s="22"/>
      <c r="B188" s="22"/>
      <c r="C188" s="25"/>
      <c r="D188" s="22"/>
      <c r="E188" s="22"/>
      <c r="F188" s="24" t="str">
        <f t="shared" si="1"/>
        <v/>
      </c>
      <c r="G188" s="24" t="str">
        <f t="shared" si="2"/>
        <v/>
      </c>
    </row>
    <row r="189" ht="15.75" customHeight="1">
      <c r="A189" s="22"/>
      <c r="B189" s="22"/>
      <c r="C189" s="25"/>
      <c r="D189" s="22"/>
      <c r="E189" s="22"/>
      <c r="F189" s="24" t="str">
        <f t="shared" si="1"/>
        <v/>
      </c>
      <c r="G189" s="24" t="str">
        <f t="shared" si="2"/>
        <v/>
      </c>
    </row>
    <row r="190" ht="15.75" customHeight="1">
      <c r="A190" s="22"/>
      <c r="B190" s="22"/>
      <c r="C190" s="25"/>
      <c r="D190" s="22"/>
      <c r="E190" s="22"/>
      <c r="F190" s="24" t="str">
        <f t="shared" si="1"/>
        <v/>
      </c>
      <c r="G190" s="24" t="str">
        <f t="shared" si="2"/>
        <v/>
      </c>
    </row>
    <row r="191" ht="15.75" customHeight="1">
      <c r="A191" s="22"/>
      <c r="B191" s="22"/>
      <c r="C191" s="25"/>
      <c r="D191" s="22"/>
      <c r="E191" s="22"/>
      <c r="F191" s="24" t="str">
        <f t="shared" si="1"/>
        <v/>
      </c>
      <c r="G191" s="24" t="str">
        <f t="shared" si="2"/>
        <v/>
      </c>
    </row>
    <row r="192" ht="15.75" customHeight="1">
      <c r="A192" s="22"/>
      <c r="B192" s="22"/>
      <c r="C192" s="25"/>
      <c r="D192" s="22"/>
      <c r="E192" s="22"/>
      <c r="F192" s="24" t="str">
        <f t="shared" si="1"/>
        <v/>
      </c>
      <c r="G192" s="24" t="str">
        <f t="shared" si="2"/>
        <v/>
      </c>
    </row>
    <row r="193" ht="15.75" customHeight="1">
      <c r="A193" s="22"/>
      <c r="B193" s="22"/>
      <c r="C193" s="25"/>
      <c r="D193" s="22"/>
      <c r="E193" s="22"/>
      <c r="F193" s="24" t="str">
        <f t="shared" si="1"/>
        <v/>
      </c>
      <c r="G193" s="24" t="str">
        <f t="shared" si="2"/>
        <v/>
      </c>
    </row>
    <row r="194" ht="15.75" customHeight="1">
      <c r="A194" s="22"/>
      <c r="B194" s="22"/>
      <c r="C194" s="25"/>
      <c r="D194" s="22"/>
      <c r="E194" s="22"/>
      <c r="F194" s="24" t="str">
        <f t="shared" si="1"/>
        <v/>
      </c>
      <c r="G194" s="24" t="str">
        <f t="shared" si="2"/>
        <v/>
      </c>
    </row>
    <row r="195" ht="15.75" customHeight="1">
      <c r="A195" s="22"/>
      <c r="B195" s="22"/>
      <c r="C195" s="25"/>
      <c r="D195" s="22"/>
      <c r="E195" s="22"/>
      <c r="F195" s="24" t="str">
        <f t="shared" si="1"/>
        <v/>
      </c>
      <c r="G195" s="24" t="str">
        <f t="shared" si="2"/>
        <v/>
      </c>
    </row>
    <row r="196" ht="15.75" customHeight="1">
      <c r="A196" s="22"/>
      <c r="B196" s="22"/>
      <c r="C196" s="25"/>
      <c r="D196" s="22"/>
      <c r="E196" s="22"/>
      <c r="F196" s="24" t="str">
        <f t="shared" si="1"/>
        <v/>
      </c>
      <c r="G196" s="24" t="str">
        <f t="shared" si="2"/>
        <v/>
      </c>
    </row>
    <row r="197" ht="15.75" customHeight="1">
      <c r="A197" s="22"/>
      <c r="B197" s="22"/>
      <c r="C197" s="25"/>
      <c r="D197" s="22"/>
      <c r="E197" s="22"/>
      <c r="F197" s="24" t="str">
        <f t="shared" si="1"/>
        <v/>
      </c>
      <c r="G197" s="24" t="str">
        <f t="shared" si="2"/>
        <v/>
      </c>
    </row>
    <row r="198" ht="15.75" customHeight="1">
      <c r="A198" s="22"/>
      <c r="B198" s="22"/>
      <c r="C198" s="25"/>
      <c r="D198" s="22"/>
      <c r="E198" s="22"/>
      <c r="F198" s="24" t="str">
        <f t="shared" si="1"/>
        <v/>
      </c>
      <c r="G198" s="24" t="str">
        <f t="shared" si="2"/>
        <v/>
      </c>
    </row>
    <row r="199" ht="15.75" customHeight="1">
      <c r="A199" s="22"/>
      <c r="B199" s="22"/>
      <c r="C199" s="25"/>
      <c r="D199" s="22"/>
      <c r="E199" s="22"/>
      <c r="F199" s="24" t="str">
        <f t="shared" si="1"/>
        <v/>
      </c>
      <c r="G199" s="24" t="str">
        <f t="shared" si="2"/>
        <v/>
      </c>
    </row>
    <row r="200" ht="15.75" customHeight="1">
      <c r="A200" s="22"/>
      <c r="B200" s="22"/>
      <c r="C200" s="25"/>
      <c r="D200" s="22"/>
      <c r="E200" s="22"/>
      <c r="F200" s="24" t="str">
        <f t="shared" si="1"/>
        <v/>
      </c>
      <c r="G200" s="24" t="str">
        <f t="shared" si="2"/>
        <v/>
      </c>
    </row>
    <row r="201" ht="15.75" customHeight="1">
      <c r="A201" s="22"/>
      <c r="B201" s="22"/>
      <c r="C201" s="25"/>
      <c r="D201" s="22"/>
      <c r="E201" s="22"/>
      <c r="F201" s="24" t="str">
        <f t="shared" si="1"/>
        <v/>
      </c>
      <c r="G201" s="24" t="str">
        <f t="shared" si="2"/>
        <v/>
      </c>
    </row>
    <row r="202" ht="15.75" customHeight="1">
      <c r="A202" s="22"/>
      <c r="B202" s="22"/>
      <c r="C202" s="25"/>
      <c r="D202" s="22"/>
      <c r="E202" s="22"/>
      <c r="F202" s="24" t="str">
        <f t="shared" si="1"/>
        <v/>
      </c>
      <c r="G202" s="24" t="str">
        <f t="shared" si="2"/>
        <v/>
      </c>
    </row>
    <row r="203" ht="15.75" customHeight="1">
      <c r="A203" s="22"/>
      <c r="B203" s="22"/>
      <c r="C203" s="25"/>
      <c r="D203" s="22"/>
      <c r="E203" s="22"/>
      <c r="F203" s="24" t="str">
        <f t="shared" si="1"/>
        <v/>
      </c>
      <c r="G203" s="24" t="str">
        <f t="shared" si="2"/>
        <v/>
      </c>
    </row>
    <row r="204" ht="15.75" customHeight="1">
      <c r="A204" s="22"/>
      <c r="B204" s="22"/>
      <c r="C204" s="25"/>
      <c r="D204" s="22"/>
      <c r="E204" s="22"/>
      <c r="F204" s="24" t="str">
        <f t="shared" si="1"/>
        <v/>
      </c>
      <c r="G204" s="24" t="str">
        <f t="shared" si="2"/>
        <v/>
      </c>
    </row>
    <row r="205" ht="15.75" customHeight="1">
      <c r="A205" s="22"/>
      <c r="B205" s="22"/>
      <c r="C205" s="25"/>
      <c r="D205" s="22"/>
      <c r="E205" s="22"/>
      <c r="F205" s="24" t="str">
        <f t="shared" si="1"/>
        <v/>
      </c>
      <c r="G205" s="24" t="str">
        <f t="shared" si="2"/>
        <v/>
      </c>
    </row>
    <row r="206" ht="15.75" customHeight="1">
      <c r="A206" s="22"/>
      <c r="B206" s="22"/>
      <c r="C206" s="25"/>
      <c r="D206" s="22"/>
      <c r="E206" s="22"/>
      <c r="F206" s="24" t="str">
        <f t="shared" si="1"/>
        <v/>
      </c>
      <c r="G206" s="24" t="str">
        <f t="shared" si="2"/>
        <v/>
      </c>
    </row>
    <row r="207" ht="15.75" customHeight="1">
      <c r="A207" s="22"/>
      <c r="B207" s="22"/>
      <c r="C207" s="25"/>
      <c r="D207" s="22"/>
      <c r="E207" s="22"/>
      <c r="F207" s="24" t="str">
        <f t="shared" si="1"/>
        <v/>
      </c>
      <c r="G207" s="24" t="str">
        <f t="shared" si="2"/>
        <v/>
      </c>
    </row>
    <row r="208" ht="15.75" customHeight="1">
      <c r="A208" s="22"/>
      <c r="B208" s="22"/>
      <c r="C208" s="25"/>
      <c r="D208" s="22"/>
      <c r="E208" s="22"/>
      <c r="F208" s="24" t="str">
        <f t="shared" si="1"/>
        <v/>
      </c>
      <c r="G208" s="24" t="str">
        <f t="shared" si="2"/>
        <v/>
      </c>
    </row>
    <row r="209" ht="15.75" customHeight="1">
      <c r="A209" s="22"/>
      <c r="B209" s="22"/>
      <c r="C209" s="25"/>
      <c r="D209" s="22"/>
      <c r="E209" s="22"/>
      <c r="F209" s="24" t="str">
        <f t="shared" si="1"/>
        <v/>
      </c>
      <c r="G209" s="24" t="str">
        <f t="shared" si="2"/>
        <v/>
      </c>
    </row>
    <row r="210" ht="15.75" customHeight="1">
      <c r="A210" s="22"/>
      <c r="B210" s="22"/>
      <c r="C210" s="25"/>
      <c r="D210" s="22"/>
      <c r="E210" s="22"/>
      <c r="F210" s="24" t="str">
        <f t="shared" si="1"/>
        <v/>
      </c>
      <c r="G210" s="24" t="str">
        <f t="shared" si="2"/>
        <v/>
      </c>
    </row>
    <row r="211" ht="15.75" customHeight="1">
      <c r="A211" s="22"/>
      <c r="B211" s="22"/>
      <c r="C211" s="25"/>
      <c r="D211" s="22"/>
      <c r="E211" s="22"/>
      <c r="F211" s="24" t="str">
        <f t="shared" si="1"/>
        <v/>
      </c>
      <c r="G211" s="24" t="str">
        <f t="shared" si="2"/>
        <v/>
      </c>
    </row>
    <row r="212" ht="15.75" customHeight="1">
      <c r="A212" s="22"/>
      <c r="B212" s="22"/>
      <c r="C212" s="25"/>
      <c r="D212" s="22"/>
      <c r="E212" s="22"/>
      <c r="F212" s="24" t="str">
        <f t="shared" si="1"/>
        <v/>
      </c>
      <c r="G212" s="24" t="str">
        <f t="shared" si="2"/>
        <v/>
      </c>
    </row>
    <row r="213" ht="15.75" customHeight="1">
      <c r="A213" s="22"/>
      <c r="B213" s="22"/>
      <c r="C213" s="25"/>
      <c r="D213" s="22"/>
      <c r="E213" s="22"/>
      <c r="F213" s="24" t="str">
        <f t="shared" si="1"/>
        <v/>
      </c>
      <c r="G213" s="24" t="str">
        <f t="shared" si="2"/>
        <v/>
      </c>
    </row>
    <row r="214" ht="15.75" customHeight="1">
      <c r="A214" s="22"/>
      <c r="B214" s="22"/>
      <c r="C214" s="25"/>
      <c r="D214" s="22"/>
      <c r="E214" s="22"/>
      <c r="F214" s="24" t="str">
        <f t="shared" si="1"/>
        <v/>
      </c>
      <c r="G214" s="24" t="str">
        <f t="shared" si="2"/>
        <v/>
      </c>
    </row>
    <row r="215" ht="15.75" customHeight="1">
      <c r="A215" s="22"/>
      <c r="B215" s="22"/>
      <c r="C215" s="25"/>
      <c r="D215" s="22"/>
      <c r="E215" s="22"/>
      <c r="F215" s="24" t="str">
        <f t="shared" si="1"/>
        <v/>
      </c>
      <c r="G215" s="24" t="str">
        <f t="shared" si="2"/>
        <v/>
      </c>
    </row>
    <row r="216" ht="15.75" customHeight="1">
      <c r="A216" s="22"/>
      <c r="B216" s="22"/>
      <c r="C216" s="25"/>
      <c r="D216" s="22"/>
      <c r="E216" s="22"/>
      <c r="F216" s="24" t="str">
        <f t="shared" si="1"/>
        <v/>
      </c>
      <c r="G216" s="24" t="str">
        <f t="shared" si="2"/>
        <v/>
      </c>
    </row>
    <row r="217" ht="15.75" customHeight="1">
      <c r="A217" s="22"/>
      <c r="B217" s="22"/>
      <c r="C217" s="25"/>
      <c r="D217" s="22"/>
      <c r="E217" s="22"/>
      <c r="F217" s="24" t="str">
        <f t="shared" si="1"/>
        <v/>
      </c>
      <c r="G217" s="24" t="str">
        <f t="shared" si="2"/>
        <v/>
      </c>
    </row>
    <row r="218" ht="15.75" customHeight="1">
      <c r="A218" s="22"/>
      <c r="B218" s="22"/>
      <c r="C218" s="25"/>
      <c r="D218" s="22"/>
      <c r="E218" s="22"/>
      <c r="F218" s="24" t="str">
        <f t="shared" si="1"/>
        <v/>
      </c>
      <c r="G218" s="24" t="str">
        <f t="shared" si="2"/>
        <v/>
      </c>
    </row>
    <row r="219" ht="15.75" customHeight="1">
      <c r="A219" s="22"/>
      <c r="B219" s="22"/>
      <c r="C219" s="25"/>
      <c r="D219" s="22"/>
      <c r="E219" s="22"/>
      <c r="F219" s="24" t="str">
        <f t="shared" si="1"/>
        <v/>
      </c>
      <c r="G219" s="24" t="str">
        <f t="shared" si="2"/>
        <v/>
      </c>
    </row>
    <row r="220" ht="15.75" customHeight="1">
      <c r="A220" s="22"/>
      <c r="B220" s="22"/>
      <c r="C220" s="25"/>
      <c r="D220" s="22"/>
      <c r="E220" s="22"/>
      <c r="F220" s="24" t="str">
        <f t="shared" si="1"/>
        <v/>
      </c>
      <c r="G220" s="24" t="str">
        <f t="shared" si="2"/>
        <v/>
      </c>
    </row>
    <row r="221" ht="15.75" customHeight="1">
      <c r="A221" s="22"/>
      <c r="B221" s="22"/>
      <c r="C221" s="25"/>
      <c r="D221" s="22"/>
      <c r="E221" s="22"/>
      <c r="F221" s="24" t="str">
        <f t="shared" si="1"/>
        <v/>
      </c>
      <c r="G221" s="24" t="str">
        <f t="shared" si="2"/>
        <v/>
      </c>
    </row>
    <row r="222" ht="15.75" customHeight="1">
      <c r="A222" s="22"/>
      <c r="B222" s="22"/>
      <c r="C222" s="25"/>
      <c r="D222" s="22"/>
      <c r="E222" s="22"/>
      <c r="F222" s="24" t="str">
        <f t="shared" si="1"/>
        <v/>
      </c>
      <c r="G222" s="24" t="str">
        <f t="shared" si="2"/>
        <v/>
      </c>
    </row>
    <row r="223" ht="15.75" customHeight="1">
      <c r="A223" s="22"/>
      <c r="B223" s="22"/>
      <c r="C223" s="25"/>
      <c r="D223" s="22"/>
      <c r="E223" s="22"/>
      <c r="F223" s="24" t="str">
        <f t="shared" si="1"/>
        <v/>
      </c>
      <c r="G223" s="24" t="str">
        <f t="shared" si="2"/>
        <v/>
      </c>
    </row>
    <row r="224" ht="15.75" customHeight="1">
      <c r="A224" s="22"/>
      <c r="B224" s="22"/>
      <c r="C224" s="25"/>
      <c r="D224" s="22"/>
      <c r="E224" s="22"/>
      <c r="F224" s="24" t="str">
        <f t="shared" si="1"/>
        <v/>
      </c>
      <c r="G224" s="24" t="str">
        <f t="shared" si="2"/>
        <v/>
      </c>
    </row>
    <row r="225" ht="15.75" customHeight="1">
      <c r="A225" s="22"/>
      <c r="B225" s="22"/>
      <c r="C225" s="25"/>
      <c r="D225" s="22"/>
      <c r="E225" s="22"/>
      <c r="F225" s="24" t="str">
        <f t="shared" si="1"/>
        <v/>
      </c>
      <c r="G225" s="24" t="str">
        <f t="shared" si="2"/>
        <v/>
      </c>
    </row>
    <row r="226" ht="15.75" customHeight="1">
      <c r="A226" s="22"/>
      <c r="B226" s="22"/>
      <c r="C226" s="25"/>
      <c r="D226" s="22"/>
      <c r="E226" s="22"/>
      <c r="F226" s="24" t="str">
        <f t="shared" si="1"/>
        <v/>
      </c>
      <c r="G226" s="24" t="str">
        <f t="shared" si="2"/>
        <v/>
      </c>
    </row>
    <row r="227" ht="15.75" customHeight="1">
      <c r="A227" s="22"/>
      <c r="B227" s="22"/>
      <c r="C227" s="25"/>
      <c r="D227" s="22"/>
      <c r="E227" s="22"/>
      <c r="F227" s="24" t="str">
        <f t="shared" si="1"/>
        <v/>
      </c>
      <c r="G227" s="24" t="str">
        <f t="shared" si="2"/>
        <v/>
      </c>
    </row>
    <row r="228" ht="15.75" customHeight="1">
      <c r="A228" s="22"/>
      <c r="B228" s="22"/>
      <c r="C228" s="25"/>
      <c r="D228" s="22"/>
      <c r="E228" s="22"/>
      <c r="F228" s="24" t="str">
        <f t="shared" si="1"/>
        <v/>
      </c>
      <c r="G228" s="24" t="str">
        <f t="shared" si="2"/>
        <v/>
      </c>
    </row>
    <row r="229" ht="15.75" customHeight="1">
      <c r="A229" s="22"/>
      <c r="B229" s="22"/>
      <c r="C229" s="25"/>
      <c r="D229" s="22"/>
      <c r="E229" s="22"/>
      <c r="F229" s="24" t="str">
        <f t="shared" si="1"/>
        <v/>
      </c>
      <c r="G229" s="24" t="str">
        <f t="shared" si="2"/>
        <v/>
      </c>
    </row>
    <row r="230" ht="15.75" customHeight="1">
      <c r="A230" s="22"/>
      <c r="B230" s="22"/>
      <c r="C230" s="25"/>
      <c r="D230" s="22"/>
      <c r="E230" s="22"/>
      <c r="F230" s="24" t="str">
        <f t="shared" si="1"/>
        <v/>
      </c>
      <c r="G230" s="24" t="str">
        <f t="shared" si="2"/>
        <v/>
      </c>
    </row>
    <row r="231" ht="15.75" customHeight="1">
      <c r="A231" s="22"/>
      <c r="B231" s="22"/>
      <c r="C231" s="25"/>
      <c r="D231" s="22"/>
      <c r="E231" s="22"/>
      <c r="F231" s="24" t="str">
        <f t="shared" si="1"/>
        <v/>
      </c>
      <c r="G231" s="24" t="str">
        <f t="shared" si="2"/>
        <v/>
      </c>
    </row>
    <row r="232" ht="15.75" customHeight="1">
      <c r="A232" s="22"/>
      <c r="B232" s="22"/>
      <c r="C232" s="25"/>
      <c r="D232" s="22"/>
      <c r="E232" s="22"/>
      <c r="F232" s="24" t="str">
        <f t="shared" si="1"/>
        <v/>
      </c>
      <c r="G232" s="24" t="str">
        <f t="shared" si="2"/>
        <v/>
      </c>
    </row>
    <row r="233" ht="15.75" customHeight="1">
      <c r="A233" s="22"/>
      <c r="B233" s="22"/>
      <c r="C233" s="25"/>
      <c r="D233" s="22"/>
      <c r="E233" s="22"/>
      <c r="F233" s="24" t="str">
        <f t="shared" si="1"/>
        <v/>
      </c>
      <c r="G233" s="24" t="str">
        <f t="shared" si="2"/>
        <v/>
      </c>
    </row>
    <row r="234" ht="15.75" customHeight="1">
      <c r="A234" s="22"/>
      <c r="B234" s="22"/>
      <c r="C234" s="25"/>
      <c r="D234" s="22"/>
      <c r="E234" s="22"/>
      <c r="F234" s="24" t="str">
        <f t="shared" si="1"/>
        <v/>
      </c>
      <c r="G234" s="24" t="str">
        <f t="shared" si="2"/>
        <v/>
      </c>
    </row>
    <row r="235" ht="15.75" customHeight="1">
      <c r="A235" s="22"/>
      <c r="B235" s="22"/>
      <c r="C235" s="25"/>
      <c r="D235" s="22"/>
      <c r="E235" s="22"/>
      <c r="F235" s="24" t="str">
        <f t="shared" si="1"/>
        <v/>
      </c>
      <c r="G235" s="24" t="str">
        <f t="shared" si="2"/>
        <v/>
      </c>
    </row>
    <row r="236" ht="15.75" customHeight="1">
      <c r="A236" s="22"/>
      <c r="B236" s="22"/>
      <c r="C236" s="25"/>
      <c r="D236" s="22"/>
      <c r="E236" s="22"/>
      <c r="F236" s="24" t="str">
        <f t="shared" si="1"/>
        <v/>
      </c>
      <c r="G236" s="24" t="str">
        <f t="shared" si="2"/>
        <v/>
      </c>
    </row>
    <row r="237" ht="15.75" customHeight="1">
      <c r="A237" s="22"/>
      <c r="B237" s="22"/>
      <c r="C237" s="25"/>
      <c r="D237" s="22"/>
      <c r="E237" s="22"/>
      <c r="F237" s="24" t="str">
        <f t="shared" si="1"/>
        <v/>
      </c>
      <c r="G237" s="24" t="str">
        <f t="shared" si="2"/>
        <v/>
      </c>
    </row>
    <row r="238" ht="15.75" customHeight="1">
      <c r="A238" s="22"/>
      <c r="B238" s="22"/>
      <c r="C238" s="25"/>
      <c r="D238" s="22"/>
      <c r="E238" s="22"/>
      <c r="F238" s="24" t="str">
        <f t="shared" si="1"/>
        <v/>
      </c>
      <c r="G238" s="24" t="str">
        <f t="shared" si="2"/>
        <v/>
      </c>
    </row>
    <row r="239" ht="15.75" customHeight="1">
      <c r="A239" s="22"/>
      <c r="B239" s="22"/>
      <c r="C239" s="25"/>
      <c r="D239" s="22"/>
      <c r="E239" s="22"/>
      <c r="F239" s="24" t="str">
        <f t="shared" si="1"/>
        <v/>
      </c>
      <c r="G239" s="24" t="str">
        <f t="shared" si="2"/>
        <v/>
      </c>
    </row>
    <row r="240" ht="15.75" customHeight="1">
      <c r="A240" s="22"/>
      <c r="B240" s="22"/>
      <c r="C240" s="25"/>
      <c r="D240" s="22"/>
      <c r="E240" s="22"/>
      <c r="F240" s="24" t="str">
        <f t="shared" si="1"/>
        <v/>
      </c>
      <c r="G240" s="24" t="str">
        <f t="shared" si="2"/>
        <v/>
      </c>
    </row>
    <row r="241" ht="15.75" customHeight="1">
      <c r="A241" s="22"/>
      <c r="B241" s="22"/>
      <c r="C241" s="25"/>
      <c r="D241" s="22"/>
      <c r="E241" s="22"/>
      <c r="F241" s="24" t="str">
        <f t="shared" si="1"/>
        <v/>
      </c>
      <c r="G241" s="24" t="str">
        <f t="shared" si="2"/>
        <v/>
      </c>
    </row>
    <row r="242" ht="15.75" customHeight="1">
      <c r="A242" s="22"/>
      <c r="B242" s="22"/>
      <c r="C242" s="25"/>
      <c r="D242" s="22"/>
      <c r="E242" s="22"/>
      <c r="F242" s="24" t="str">
        <f t="shared" si="1"/>
        <v/>
      </c>
      <c r="G242" s="24" t="str">
        <f t="shared" si="2"/>
        <v/>
      </c>
    </row>
    <row r="243" ht="15.75" customHeight="1">
      <c r="A243" s="22"/>
      <c r="B243" s="22"/>
      <c r="C243" s="25"/>
      <c r="D243" s="22"/>
      <c r="E243" s="22"/>
      <c r="F243" s="24" t="str">
        <f t="shared" si="1"/>
        <v/>
      </c>
      <c r="G243" s="24" t="str">
        <f t="shared" si="2"/>
        <v/>
      </c>
    </row>
    <row r="244" ht="15.75" customHeight="1">
      <c r="A244" s="22"/>
      <c r="B244" s="22"/>
      <c r="C244" s="25"/>
      <c r="D244" s="22"/>
      <c r="E244" s="22"/>
      <c r="F244" s="24" t="str">
        <f t="shared" si="1"/>
        <v/>
      </c>
      <c r="G244" s="24" t="str">
        <f t="shared" si="2"/>
        <v/>
      </c>
    </row>
    <row r="245" ht="15.75" customHeight="1">
      <c r="A245" s="22"/>
      <c r="B245" s="22"/>
      <c r="C245" s="25"/>
      <c r="D245" s="22"/>
      <c r="E245" s="22"/>
      <c r="F245" s="24" t="str">
        <f t="shared" si="1"/>
        <v/>
      </c>
      <c r="G245" s="24" t="str">
        <f t="shared" si="2"/>
        <v/>
      </c>
    </row>
    <row r="246" ht="15.75" customHeight="1">
      <c r="A246" s="22"/>
      <c r="B246" s="22"/>
      <c r="C246" s="25"/>
      <c r="D246" s="22"/>
      <c r="E246" s="22"/>
      <c r="F246" s="24" t="str">
        <f t="shared" si="1"/>
        <v/>
      </c>
      <c r="G246" s="24" t="str">
        <f t="shared" si="2"/>
        <v/>
      </c>
    </row>
    <row r="247" ht="15.75" customHeight="1">
      <c r="A247" s="22"/>
      <c r="B247" s="22"/>
      <c r="C247" s="25"/>
      <c r="D247" s="22"/>
      <c r="E247" s="22"/>
      <c r="F247" s="24" t="str">
        <f t="shared" si="1"/>
        <v/>
      </c>
      <c r="G247" s="24" t="str">
        <f t="shared" si="2"/>
        <v/>
      </c>
    </row>
    <row r="248" ht="15.75" customHeight="1">
      <c r="A248" s="22"/>
      <c r="B248" s="22"/>
      <c r="C248" s="25"/>
      <c r="D248" s="22"/>
      <c r="E248" s="22"/>
      <c r="F248" s="24" t="str">
        <f t="shared" si="1"/>
        <v/>
      </c>
      <c r="G248" s="24" t="str">
        <f t="shared" si="2"/>
        <v/>
      </c>
    </row>
    <row r="249" ht="15.75" customHeight="1">
      <c r="A249" s="22"/>
      <c r="B249" s="22"/>
      <c r="C249" s="25"/>
      <c r="D249" s="22"/>
      <c r="E249" s="22"/>
      <c r="F249" s="24" t="str">
        <f t="shared" si="1"/>
        <v/>
      </c>
      <c r="G249" s="24" t="str">
        <f t="shared" si="2"/>
        <v/>
      </c>
    </row>
    <row r="250" ht="15.75" customHeight="1">
      <c r="A250" s="22"/>
      <c r="B250" s="22"/>
      <c r="C250" s="25"/>
      <c r="D250" s="22"/>
      <c r="E250" s="22"/>
      <c r="F250" s="24" t="str">
        <f t="shared" si="1"/>
        <v/>
      </c>
      <c r="G250" s="24" t="str">
        <f t="shared" si="2"/>
        <v/>
      </c>
    </row>
    <row r="251" ht="15.75" customHeight="1">
      <c r="A251" s="22"/>
      <c r="B251" s="22"/>
      <c r="C251" s="25"/>
      <c r="D251" s="22"/>
      <c r="E251" s="22"/>
      <c r="F251" s="24" t="str">
        <f t="shared" si="1"/>
        <v/>
      </c>
      <c r="G251" s="24" t="str">
        <f t="shared" si="2"/>
        <v/>
      </c>
    </row>
    <row r="252" ht="15.75" customHeight="1">
      <c r="A252" s="22"/>
      <c r="B252" s="22"/>
      <c r="C252" s="25"/>
      <c r="D252" s="22"/>
      <c r="E252" s="22"/>
      <c r="F252" s="24" t="str">
        <f t="shared" si="1"/>
        <v/>
      </c>
      <c r="G252" s="24" t="str">
        <f t="shared" si="2"/>
        <v/>
      </c>
    </row>
    <row r="253" ht="15.75" customHeight="1">
      <c r="A253" s="22"/>
      <c r="B253" s="22"/>
      <c r="C253" s="25"/>
      <c r="D253" s="22"/>
      <c r="E253" s="22"/>
      <c r="F253" s="24" t="str">
        <f t="shared" si="1"/>
        <v/>
      </c>
      <c r="G253" s="24" t="str">
        <f t="shared" si="2"/>
        <v/>
      </c>
    </row>
    <row r="254" ht="15.75" customHeight="1">
      <c r="A254" s="22"/>
      <c r="B254" s="22"/>
      <c r="C254" s="25"/>
      <c r="D254" s="22"/>
      <c r="E254" s="22"/>
      <c r="F254" s="24" t="str">
        <f t="shared" si="1"/>
        <v/>
      </c>
      <c r="G254" s="24" t="str">
        <f t="shared" si="2"/>
        <v/>
      </c>
    </row>
    <row r="255" ht="15.75" customHeight="1">
      <c r="A255" s="22"/>
      <c r="B255" s="22"/>
      <c r="C255" s="25"/>
      <c r="D255" s="22"/>
      <c r="E255" s="22"/>
      <c r="F255" s="24" t="str">
        <f t="shared" si="1"/>
        <v/>
      </c>
      <c r="G255" s="24" t="str">
        <f t="shared" si="2"/>
        <v/>
      </c>
    </row>
    <row r="256" ht="15.75" customHeight="1">
      <c r="A256" s="22"/>
      <c r="B256" s="22"/>
      <c r="C256" s="25"/>
      <c r="D256" s="22"/>
      <c r="E256" s="22"/>
      <c r="F256" s="24" t="str">
        <f t="shared" si="1"/>
        <v/>
      </c>
      <c r="G256" s="24" t="str">
        <f t="shared" si="2"/>
        <v/>
      </c>
    </row>
    <row r="257" ht="15.75" customHeight="1">
      <c r="A257" s="22"/>
      <c r="B257" s="22"/>
      <c r="C257" s="25"/>
      <c r="D257" s="22"/>
      <c r="E257" s="22"/>
      <c r="F257" s="24" t="str">
        <f t="shared" si="1"/>
        <v/>
      </c>
      <c r="G257" s="24" t="str">
        <f t="shared" si="2"/>
        <v/>
      </c>
    </row>
    <row r="258" ht="15.75" customHeight="1">
      <c r="A258" s="22"/>
      <c r="B258" s="22"/>
      <c r="C258" s="25"/>
      <c r="D258" s="22"/>
      <c r="E258" s="22"/>
      <c r="F258" s="24" t="str">
        <f t="shared" si="1"/>
        <v/>
      </c>
      <c r="G258" s="24" t="str">
        <f t="shared" si="2"/>
        <v/>
      </c>
    </row>
    <row r="259" ht="15.75" customHeight="1">
      <c r="A259" s="22"/>
      <c r="B259" s="22"/>
      <c r="C259" s="25"/>
      <c r="D259" s="22"/>
      <c r="E259" s="22"/>
      <c r="F259" s="24" t="str">
        <f t="shared" si="1"/>
        <v/>
      </c>
      <c r="G259" s="24" t="str">
        <f t="shared" si="2"/>
        <v/>
      </c>
    </row>
    <row r="260" ht="15.75" customHeight="1">
      <c r="A260" s="22"/>
      <c r="B260" s="22"/>
      <c r="C260" s="25"/>
      <c r="D260" s="22"/>
      <c r="E260" s="22"/>
      <c r="F260" s="24" t="str">
        <f t="shared" si="1"/>
        <v/>
      </c>
      <c r="G260" s="24" t="str">
        <f t="shared" si="2"/>
        <v/>
      </c>
    </row>
    <row r="261" ht="15.75" customHeight="1">
      <c r="A261" s="22"/>
      <c r="B261" s="22"/>
      <c r="C261" s="25"/>
      <c r="D261" s="22"/>
      <c r="E261" s="22"/>
      <c r="F261" s="24" t="str">
        <f t="shared" si="1"/>
        <v/>
      </c>
      <c r="G261" s="24" t="str">
        <f t="shared" si="2"/>
        <v/>
      </c>
    </row>
    <row r="262" ht="15.75" customHeight="1">
      <c r="A262" s="22"/>
      <c r="B262" s="22"/>
      <c r="C262" s="25"/>
      <c r="D262" s="22"/>
      <c r="E262" s="22"/>
      <c r="F262" s="24" t="str">
        <f t="shared" si="1"/>
        <v/>
      </c>
      <c r="G262" s="24" t="str">
        <f t="shared" si="2"/>
        <v/>
      </c>
    </row>
    <row r="263" ht="15.75" customHeight="1">
      <c r="A263" s="22"/>
      <c r="B263" s="22"/>
      <c r="C263" s="25"/>
      <c r="D263" s="22"/>
      <c r="E263" s="22"/>
      <c r="F263" s="24" t="str">
        <f t="shared" si="1"/>
        <v/>
      </c>
      <c r="G263" s="24" t="str">
        <f t="shared" si="2"/>
        <v/>
      </c>
    </row>
    <row r="264" ht="15.75" customHeight="1">
      <c r="A264" s="22"/>
      <c r="B264" s="22"/>
      <c r="C264" s="25"/>
      <c r="D264" s="22"/>
      <c r="E264" s="22"/>
      <c r="F264" s="24" t="str">
        <f t="shared" si="1"/>
        <v/>
      </c>
      <c r="G264" s="24" t="str">
        <f t="shared" si="2"/>
        <v/>
      </c>
    </row>
    <row r="265" ht="15.75" customHeight="1">
      <c r="A265" s="22"/>
      <c r="B265" s="22"/>
      <c r="C265" s="25"/>
      <c r="D265" s="22"/>
      <c r="E265" s="22"/>
      <c r="F265" s="24" t="str">
        <f t="shared" si="1"/>
        <v/>
      </c>
      <c r="G265" s="24" t="str">
        <f t="shared" si="2"/>
        <v/>
      </c>
    </row>
    <row r="266" ht="15.75" customHeight="1">
      <c r="A266" s="22"/>
      <c r="B266" s="22"/>
      <c r="C266" s="25"/>
      <c r="D266" s="22"/>
      <c r="E266" s="22"/>
      <c r="F266" s="24" t="str">
        <f t="shared" si="1"/>
        <v/>
      </c>
      <c r="G266" s="24" t="str">
        <f t="shared" si="2"/>
        <v/>
      </c>
    </row>
    <row r="267" ht="15.75" customHeight="1">
      <c r="A267" s="22"/>
      <c r="B267" s="22"/>
      <c r="C267" s="25"/>
      <c r="D267" s="22"/>
      <c r="E267" s="22"/>
      <c r="F267" s="24" t="str">
        <f t="shared" si="1"/>
        <v/>
      </c>
      <c r="G267" s="24" t="str">
        <f t="shared" si="2"/>
        <v/>
      </c>
    </row>
    <row r="268" ht="15.75" customHeight="1">
      <c r="A268" s="22"/>
      <c r="B268" s="22"/>
      <c r="C268" s="25"/>
      <c r="D268" s="22"/>
      <c r="E268" s="22"/>
      <c r="F268" s="24" t="str">
        <f t="shared" si="1"/>
        <v/>
      </c>
      <c r="G268" s="24" t="str">
        <f t="shared" si="2"/>
        <v/>
      </c>
    </row>
    <row r="269" ht="15.75" customHeight="1">
      <c r="A269" s="22"/>
      <c r="B269" s="22"/>
      <c r="C269" s="25"/>
      <c r="D269" s="22"/>
      <c r="E269" s="22"/>
      <c r="F269" s="24" t="str">
        <f t="shared" si="1"/>
        <v/>
      </c>
      <c r="G269" s="24" t="str">
        <f t="shared" si="2"/>
        <v/>
      </c>
    </row>
    <row r="270" ht="15.75" customHeight="1">
      <c r="A270" s="22"/>
      <c r="B270" s="22"/>
      <c r="C270" s="25"/>
      <c r="D270" s="22"/>
      <c r="E270" s="22"/>
      <c r="F270" s="24" t="str">
        <f t="shared" si="1"/>
        <v/>
      </c>
      <c r="G270" s="24" t="str">
        <f t="shared" si="2"/>
        <v/>
      </c>
    </row>
    <row r="271" ht="15.75" customHeight="1">
      <c r="A271" s="22"/>
      <c r="B271" s="22"/>
      <c r="C271" s="25"/>
      <c r="D271" s="22"/>
      <c r="E271" s="22"/>
      <c r="F271" s="24" t="str">
        <f t="shared" si="1"/>
        <v/>
      </c>
      <c r="G271" s="24" t="str">
        <f t="shared" si="2"/>
        <v/>
      </c>
    </row>
    <row r="272" ht="15.75" customHeight="1">
      <c r="A272" s="22"/>
      <c r="B272" s="22"/>
      <c r="C272" s="25"/>
      <c r="D272" s="22"/>
      <c r="E272" s="22"/>
      <c r="F272" s="24" t="str">
        <f t="shared" si="1"/>
        <v/>
      </c>
      <c r="G272" s="24" t="str">
        <f t="shared" si="2"/>
        <v/>
      </c>
    </row>
    <row r="273" ht="15.75" customHeight="1">
      <c r="A273" s="22"/>
      <c r="B273" s="22"/>
      <c r="C273" s="25"/>
      <c r="D273" s="22"/>
      <c r="E273" s="22"/>
      <c r="F273" s="24" t="str">
        <f t="shared" si="1"/>
        <v/>
      </c>
      <c r="G273" s="24" t="str">
        <f t="shared" si="2"/>
        <v/>
      </c>
    </row>
    <row r="274" ht="15.75" customHeight="1">
      <c r="A274" s="22"/>
      <c r="B274" s="22"/>
      <c r="C274" s="25"/>
      <c r="D274" s="22"/>
      <c r="E274" s="22"/>
      <c r="F274" s="24" t="str">
        <f t="shared" si="1"/>
        <v/>
      </c>
      <c r="G274" s="24" t="str">
        <f t="shared" si="2"/>
        <v/>
      </c>
    </row>
    <row r="275" ht="15.75" customHeight="1">
      <c r="A275" s="22"/>
      <c r="B275" s="22"/>
      <c r="C275" s="25"/>
      <c r="D275" s="22"/>
      <c r="E275" s="22"/>
      <c r="F275" s="24" t="str">
        <f t="shared" si="1"/>
        <v/>
      </c>
      <c r="G275" s="24" t="str">
        <f t="shared" si="2"/>
        <v/>
      </c>
    </row>
    <row r="276" ht="15.75" customHeight="1">
      <c r="A276" s="22"/>
      <c r="B276" s="22"/>
      <c r="C276" s="25"/>
      <c r="D276" s="22"/>
      <c r="E276" s="22"/>
      <c r="F276" s="24" t="str">
        <f t="shared" si="1"/>
        <v/>
      </c>
      <c r="G276" s="24" t="str">
        <f t="shared" si="2"/>
        <v/>
      </c>
    </row>
    <row r="277" ht="15.75" customHeight="1">
      <c r="A277" s="22"/>
      <c r="B277" s="22"/>
      <c r="C277" s="25"/>
      <c r="D277" s="22"/>
      <c r="E277" s="22"/>
      <c r="F277" s="24" t="str">
        <f t="shared" si="1"/>
        <v/>
      </c>
      <c r="G277" s="24" t="str">
        <f t="shared" si="2"/>
        <v/>
      </c>
    </row>
    <row r="278" ht="15.75" customHeight="1">
      <c r="A278" s="22"/>
      <c r="B278" s="22"/>
      <c r="C278" s="25"/>
      <c r="D278" s="22"/>
      <c r="E278" s="22"/>
      <c r="F278" s="24" t="str">
        <f t="shared" si="1"/>
        <v/>
      </c>
      <c r="G278" s="24" t="str">
        <f t="shared" si="2"/>
        <v/>
      </c>
    </row>
    <row r="279" ht="15.75" customHeight="1">
      <c r="A279" s="22"/>
      <c r="B279" s="22"/>
      <c r="C279" s="25"/>
      <c r="D279" s="22"/>
      <c r="E279" s="22"/>
      <c r="F279" s="24" t="str">
        <f t="shared" si="1"/>
        <v/>
      </c>
      <c r="G279" s="24" t="str">
        <f t="shared" si="2"/>
        <v/>
      </c>
    </row>
    <row r="280" ht="15.75" customHeight="1">
      <c r="A280" s="22"/>
      <c r="B280" s="22"/>
      <c r="C280" s="25"/>
      <c r="D280" s="22"/>
      <c r="E280" s="22"/>
      <c r="F280" s="24" t="str">
        <f t="shared" si="1"/>
        <v/>
      </c>
      <c r="G280" s="24" t="str">
        <f t="shared" si="2"/>
        <v/>
      </c>
    </row>
    <row r="281" ht="15.75" customHeight="1">
      <c r="A281" s="22"/>
      <c r="B281" s="22"/>
      <c r="C281" s="25"/>
      <c r="D281" s="22"/>
      <c r="E281" s="22"/>
      <c r="F281" s="24" t="str">
        <f t="shared" si="1"/>
        <v/>
      </c>
      <c r="G281" s="24" t="str">
        <f t="shared" si="2"/>
        <v/>
      </c>
    </row>
    <row r="282" ht="15.75" customHeight="1">
      <c r="A282" s="22"/>
      <c r="B282" s="22"/>
      <c r="C282" s="25"/>
      <c r="D282" s="22"/>
      <c r="E282" s="22"/>
      <c r="F282" s="24" t="str">
        <f t="shared" si="1"/>
        <v/>
      </c>
      <c r="G282" s="24" t="str">
        <f t="shared" si="2"/>
        <v/>
      </c>
    </row>
    <row r="283" ht="15.75" customHeight="1">
      <c r="A283" s="22"/>
      <c r="B283" s="22"/>
      <c r="C283" s="25"/>
      <c r="D283" s="22"/>
      <c r="E283" s="22"/>
      <c r="F283" s="24" t="str">
        <f t="shared" si="1"/>
        <v/>
      </c>
      <c r="G283" s="24" t="str">
        <f t="shared" si="2"/>
        <v/>
      </c>
    </row>
    <row r="284" ht="15.75" customHeight="1">
      <c r="A284" s="22"/>
      <c r="B284" s="22"/>
      <c r="C284" s="25"/>
      <c r="D284" s="22"/>
      <c r="E284" s="22"/>
      <c r="F284" s="24" t="str">
        <f t="shared" si="1"/>
        <v/>
      </c>
      <c r="G284" s="24" t="str">
        <f t="shared" si="2"/>
        <v/>
      </c>
    </row>
    <row r="285" ht="15.75" customHeight="1">
      <c r="A285" s="22"/>
      <c r="B285" s="22"/>
      <c r="C285" s="25"/>
      <c r="D285" s="22"/>
      <c r="E285" s="22"/>
      <c r="F285" s="24" t="str">
        <f t="shared" si="1"/>
        <v/>
      </c>
      <c r="G285" s="24" t="str">
        <f t="shared" si="2"/>
        <v/>
      </c>
    </row>
    <row r="286" ht="15.75" customHeight="1">
      <c r="A286" s="22"/>
      <c r="B286" s="22"/>
      <c r="C286" s="25"/>
      <c r="D286" s="22"/>
      <c r="E286" s="22"/>
      <c r="F286" s="24" t="str">
        <f t="shared" si="1"/>
        <v/>
      </c>
      <c r="G286" s="24" t="str">
        <f t="shared" si="2"/>
        <v/>
      </c>
    </row>
    <row r="287" ht="15.75" customHeight="1">
      <c r="A287" s="22"/>
      <c r="B287" s="22"/>
      <c r="C287" s="25"/>
      <c r="D287" s="22"/>
      <c r="E287" s="22"/>
      <c r="F287" s="24" t="str">
        <f t="shared" si="1"/>
        <v/>
      </c>
      <c r="G287" s="24" t="str">
        <f t="shared" si="2"/>
        <v/>
      </c>
    </row>
    <row r="288" ht="15.75" customHeight="1">
      <c r="A288" s="22"/>
      <c r="B288" s="22"/>
      <c r="C288" s="25"/>
      <c r="D288" s="22"/>
      <c r="E288" s="22"/>
      <c r="F288" s="24" t="str">
        <f t="shared" si="1"/>
        <v/>
      </c>
      <c r="G288" s="24" t="str">
        <f t="shared" si="2"/>
        <v/>
      </c>
    </row>
    <row r="289" ht="15.75" customHeight="1">
      <c r="A289" s="22"/>
      <c r="B289" s="22"/>
      <c r="C289" s="25"/>
      <c r="D289" s="22"/>
      <c r="E289" s="22"/>
      <c r="F289" s="24" t="str">
        <f t="shared" si="1"/>
        <v/>
      </c>
      <c r="G289" s="24" t="str">
        <f t="shared" si="2"/>
        <v/>
      </c>
    </row>
    <row r="290" ht="15.75" customHeight="1">
      <c r="A290" s="22"/>
      <c r="B290" s="22"/>
      <c r="C290" s="25"/>
      <c r="D290" s="22"/>
      <c r="E290" s="22"/>
      <c r="F290" s="24" t="str">
        <f t="shared" si="1"/>
        <v/>
      </c>
      <c r="G290" s="24" t="str">
        <f t="shared" si="2"/>
        <v/>
      </c>
    </row>
    <row r="291" ht="15.75" customHeight="1">
      <c r="A291" s="22"/>
      <c r="B291" s="22"/>
      <c r="C291" s="25"/>
      <c r="D291" s="22"/>
      <c r="E291" s="22"/>
      <c r="F291" s="24" t="str">
        <f t="shared" si="1"/>
        <v/>
      </c>
      <c r="G291" s="24" t="str">
        <f t="shared" si="2"/>
        <v/>
      </c>
    </row>
    <row r="292" ht="15.75" customHeight="1">
      <c r="A292" s="22"/>
      <c r="B292" s="22"/>
      <c r="C292" s="25"/>
      <c r="D292" s="22"/>
      <c r="E292" s="22"/>
      <c r="F292" s="24" t="str">
        <f t="shared" si="1"/>
        <v/>
      </c>
      <c r="G292" s="24" t="str">
        <f t="shared" si="2"/>
        <v/>
      </c>
    </row>
    <row r="293" ht="15.75" customHeight="1">
      <c r="A293" s="22"/>
      <c r="B293" s="22"/>
      <c r="C293" s="25"/>
      <c r="D293" s="22"/>
      <c r="E293" s="22"/>
      <c r="F293" s="24" t="str">
        <f t="shared" si="1"/>
        <v/>
      </c>
      <c r="G293" s="24" t="str">
        <f t="shared" si="2"/>
        <v/>
      </c>
    </row>
    <row r="294" ht="15.75" customHeight="1">
      <c r="A294" s="22"/>
      <c r="B294" s="22"/>
      <c r="C294" s="25"/>
      <c r="D294" s="22"/>
      <c r="E294" s="22"/>
      <c r="F294" s="24" t="str">
        <f t="shared" si="1"/>
        <v/>
      </c>
      <c r="G294" s="24" t="str">
        <f t="shared" si="2"/>
        <v/>
      </c>
    </row>
    <row r="295" ht="15.75" customHeight="1">
      <c r="A295" s="22"/>
      <c r="B295" s="22"/>
      <c r="C295" s="25"/>
      <c r="D295" s="22"/>
      <c r="E295" s="22"/>
      <c r="F295" s="24" t="str">
        <f t="shared" si="1"/>
        <v/>
      </c>
      <c r="G295" s="24" t="str">
        <f t="shared" si="2"/>
        <v/>
      </c>
    </row>
    <row r="296" ht="15.75" customHeight="1">
      <c r="A296" s="22"/>
      <c r="B296" s="22"/>
      <c r="C296" s="25"/>
      <c r="D296" s="22"/>
      <c r="E296" s="22"/>
      <c r="F296" s="24" t="str">
        <f t="shared" si="1"/>
        <v/>
      </c>
      <c r="G296" s="24" t="str">
        <f t="shared" si="2"/>
        <v/>
      </c>
    </row>
    <row r="297" ht="15.75" customHeight="1">
      <c r="A297" s="22"/>
      <c r="B297" s="22"/>
      <c r="C297" s="25"/>
      <c r="D297" s="22"/>
      <c r="E297" s="22"/>
      <c r="F297" s="24" t="str">
        <f t="shared" si="1"/>
        <v/>
      </c>
      <c r="G297" s="24" t="str">
        <f t="shared" si="2"/>
        <v/>
      </c>
    </row>
    <row r="298" ht="15.75" customHeight="1">
      <c r="A298" s="22"/>
      <c r="B298" s="22"/>
      <c r="C298" s="25"/>
      <c r="D298" s="22"/>
      <c r="E298" s="22"/>
      <c r="F298" s="24" t="str">
        <f t="shared" si="1"/>
        <v/>
      </c>
      <c r="G298" s="24" t="str">
        <f t="shared" si="2"/>
        <v/>
      </c>
    </row>
    <row r="299" ht="15.75" customHeight="1">
      <c r="A299" s="22"/>
      <c r="B299" s="22"/>
      <c r="C299" s="25"/>
      <c r="D299" s="22"/>
      <c r="E299" s="22"/>
      <c r="F299" s="24" t="str">
        <f t="shared" si="1"/>
        <v/>
      </c>
      <c r="G299" s="24" t="str">
        <f t="shared" si="2"/>
        <v/>
      </c>
    </row>
    <row r="300" ht="15.75" customHeight="1">
      <c r="A300" s="22"/>
      <c r="B300" s="22"/>
      <c r="C300" s="25"/>
      <c r="D300" s="22"/>
      <c r="E300" s="22"/>
      <c r="F300" s="24" t="str">
        <f t="shared" si="1"/>
        <v/>
      </c>
      <c r="G300" s="24" t="str">
        <f t="shared" si="2"/>
        <v/>
      </c>
    </row>
    <row r="301" ht="15.75" customHeight="1">
      <c r="A301" s="22"/>
      <c r="B301" s="22"/>
      <c r="C301" s="25"/>
      <c r="D301" s="22"/>
      <c r="E301" s="22"/>
      <c r="F301" s="24" t="str">
        <f t="shared" si="1"/>
        <v/>
      </c>
      <c r="G301" s="24" t="str">
        <f t="shared" si="2"/>
        <v/>
      </c>
    </row>
    <row r="302" ht="15.75" customHeight="1">
      <c r="A302" s="22"/>
      <c r="B302" s="22"/>
      <c r="C302" s="25"/>
      <c r="D302" s="22"/>
      <c r="E302" s="22"/>
      <c r="F302" s="24" t="str">
        <f t="shared" si="1"/>
        <v/>
      </c>
      <c r="G302" s="24" t="str">
        <f t="shared" si="2"/>
        <v/>
      </c>
    </row>
    <row r="303" ht="15.75" customHeight="1">
      <c r="A303" s="22"/>
      <c r="B303" s="22"/>
      <c r="C303" s="25"/>
      <c r="D303" s="22"/>
      <c r="E303" s="22"/>
      <c r="F303" s="24" t="str">
        <f t="shared" si="1"/>
        <v/>
      </c>
      <c r="G303" s="24" t="str">
        <f t="shared" si="2"/>
        <v/>
      </c>
    </row>
    <row r="304" ht="15.75" customHeight="1">
      <c r="A304" s="22"/>
      <c r="B304" s="22"/>
      <c r="C304" s="25"/>
      <c r="D304" s="22"/>
      <c r="E304" s="22"/>
      <c r="F304" s="24" t="str">
        <f t="shared" si="1"/>
        <v/>
      </c>
      <c r="G304" s="24" t="str">
        <f t="shared" si="2"/>
        <v/>
      </c>
    </row>
    <row r="305" ht="15.75" customHeight="1">
      <c r="A305" s="22"/>
      <c r="B305" s="22"/>
      <c r="C305" s="25"/>
      <c r="D305" s="22"/>
      <c r="E305" s="22"/>
      <c r="F305" s="24" t="str">
        <f t="shared" si="1"/>
        <v/>
      </c>
      <c r="G305" s="24" t="str">
        <f t="shared" si="2"/>
        <v/>
      </c>
    </row>
    <row r="306" ht="15.75" customHeight="1">
      <c r="A306" s="22"/>
      <c r="B306" s="22"/>
      <c r="C306" s="25"/>
      <c r="D306" s="22"/>
      <c r="E306" s="22"/>
      <c r="F306" s="24" t="str">
        <f t="shared" si="1"/>
        <v/>
      </c>
      <c r="G306" s="24" t="str">
        <f t="shared" si="2"/>
        <v/>
      </c>
    </row>
    <row r="307" ht="15.75" customHeight="1">
      <c r="A307" s="22"/>
      <c r="B307" s="22"/>
      <c r="C307" s="25"/>
      <c r="D307" s="22"/>
      <c r="E307" s="22"/>
      <c r="F307" s="24" t="str">
        <f t="shared" si="1"/>
        <v/>
      </c>
      <c r="G307" s="24" t="str">
        <f t="shared" si="2"/>
        <v/>
      </c>
    </row>
    <row r="308" ht="15.75" customHeight="1">
      <c r="A308" s="22"/>
      <c r="B308" s="22"/>
      <c r="C308" s="25"/>
      <c r="D308" s="22"/>
      <c r="E308" s="22"/>
      <c r="F308" s="24" t="str">
        <f t="shared" si="1"/>
        <v/>
      </c>
      <c r="G308" s="24" t="str">
        <f t="shared" si="2"/>
        <v/>
      </c>
    </row>
    <row r="309" ht="15.75" customHeight="1">
      <c r="A309" s="22"/>
      <c r="B309" s="22"/>
      <c r="C309" s="25"/>
      <c r="D309" s="22"/>
      <c r="E309" s="22"/>
      <c r="F309" s="24" t="str">
        <f t="shared" si="1"/>
        <v/>
      </c>
      <c r="G309" s="24" t="str">
        <f t="shared" si="2"/>
        <v/>
      </c>
    </row>
    <row r="310" ht="15.75" customHeight="1">
      <c r="A310" s="22"/>
      <c r="B310" s="22"/>
      <c r="C310" s="25"/>
      <c r="D310" s="22"/>
      <c r="E310" s="22"/>
      <c r="F310" s="24" t="str">
        <f t="shared" si="1"/>
        <v/>
      </c>
      <c r="G310" s="24" t="str">
        <f t="shared" si="2"/>
        <v/>
      </c>
    </row>
    <row r="311" ht="15.75" customHeight="1">
      <c r="A311" s="22"/>
      <c r="B311" s="22"/>
      <c r="C311" s="25"/>
      <c r="D311" s="22"/>
      <c r="E311" s="22"/>
      <c r="F311" s="24" t="str">
        <f t="shared" si="1"/>
        <v/>
      </c>
      <c r="G311" s="24" t="str">
        <f t="shared" si="2"/>
        <v/>
      </c>
    </row>
    <row r="312" ht="15.75" customHeight="1">
      <c r="A312" s="22"/>
      <c r="B312" s="22"/>
      <c r="C312" s="25"/>
      <c r="D312" s="22"/>
      <c r="E312" s="22"/>
      <c r="F312" s="24" t="str">
        <f t="shared" si="1"/>
        <v/>
      </c>
      <c r="G312" s="24" t="str">
        <f t="shared" si="2"/>
        <v/>
      </c>
    </row>
    <row r="313" ht="15.75" customHeight="1">
      <c r="A313" s="22"/>
      <c r="B313" s="22"/>
      <c r="C313" s="25"/>
      <c r="D313" s="22"/>
      <c r="E313" s="22"/>
      <c r="F313" s="24" t="str">
        <f t="shared" si="1"/>
        <v/>
      </c>
      <c r="G313" s="24" t="str">
        <f t="shared" si="2"/>
        <v/>
      </c>
    </row>
    <row r="314" ht="15.75" customHeight="1">
      <c r="A314" s="22"/>
      <c r="B314" s="22"/>
      <c r="C314" s="25"/>
      <c r="D314" s="22"/>
      <c r="E314" s="22"/>
      <c r="F314" s="24" t="str">
        <f t="shared" si="1"/>
        <v/>
      </c>
      <c r="G314" s="24" t="str">
        <f t="shared" si="2"/>
        <v/>
      </c>
    </row>
    <row r="315" ht="15.75" customHeight="1">
      <c r="A315" s="22"/>
      <c r="B315" s="22"/>
      <c r="C315" s="25"/>
      <c r="D315" s="22"/>
      <c r="E315" s="22"/>
      <c r="F315" s="24" t="str">
        <f t="shared" si="1"/>
        <v/>
      </c>
      <c r="G315" s="24" t="str">
        <f t="shared" si="2"/>
        <v/>
      </c>
    </row>
    <row r="316" ht="15.75" customHeight="1">
      <c r="A316" s="22"/>
      <c r="B316" s="22"/>
      <c r="C316" s="25"/>
      <c r="D316" s="22"/>
      <c r="E316" s="22"/>
      <c r="F316" s="24" t="str">
        <f t="shared" si="1"/>
        <v/>
      </c>
      <c r="G316" s="24" t="str">
        <f t="shared" si="2"/>
        <v/>
      </c>
    </row>
    <row r="317" ht="15.75" customHeight="1">
      <c r="A317" s="22"/>
      <c r="B317" s="22"/>
      <c r="C317" s="25"/>
      <c r="D317" s="22"/>
      <c r="E317" s="22"/>
      <c r="F317" s="24" t="str">
        <f t="shared" si="1"/>
        <v/>
      </c>
      <c r="G317" s="24" t="str">
        <f t="shared" si="2"/>
        <v/>
      </c>
    </row>
    <row r="318" ht="15.75" customHeight="1">
      <c r="A318" s="22"/>
      <c r="B318" s="22"/>
      <c r="C318" s="25"/>
      <c r="D318" s="22"/>
      <c r="E318" s="22"/>
      <c r="F318" s="24" t="str">
        <f t="shared" si="1"/>
        <v/>
      </c>
      <c r="G318" s="24" t="str">
        <f t="shared" si="2"/>
        <v/>
      </c>
    </row>
    <row r="319" ht="15.75" customHeight="1">
      <c r="A319" s="22"/>
      <c r="B319" s="22"/>
      <c r="C319" s="25"/>
      <c r="D319" s="22"/>
      <c r="E319" s="22"/>
      <c r="F319" s="24" t="str">
        <f t="shared" si="1"/>
        <v/>
      </c>
      <c r="G319" s="24" t="str">
        <f t="shared" si="2"/>
        <v/>
      </c>
    </row>
    <row r="320" ht="15.75" customHeight="1">
      <c r="A320" s="22"/>
      <c r="B320" s="22"/>
      <c r="C320" s="25"/>
      <c r="D320" s="22"/>
      <c r="E320" s="22"/>
      <c r="F320" s="24" t="str">
        <f t="shared" si="1"/>
        <v/>
      </c>
      <c r="G320" s="24" t="str">
        <f t="shared" si="2"/>
        <v/>
      </c>
    </row>
    <row r="321" ht="15.75" customHeight="1">
      <c r="A321" s="22"/>
      <c r="B321" s="22"/>
      <c r="C321" s="25"/>
      <c r="D321" s="22"/>
      <c r="E321" s="22"/>
      <c r="F321" s="24" t="str">
        <f t="shared" si="1"/>
        <v/>
      </c>
      <c r="G321" s="24" t="str">
        <f t="shared" si="2"/>
        <v/>
      </c>
    </row>
    <row r="322" ht="15.75" customHeight="1">
      <c r="A322" s="22"/>
      <c r="B322" s="22"/>
      <c r="C322" s="25"/>
      <c r="D322" s="22"/>
      <c r="E322" s="22"/>
      <c r="F322" s="24" t="str">
        <f t="shared" si="1"/>
        <v/>
      </c>
      <c r="G322" s="24" t="str">
        <f t="shared" si="2"/>
        <v/>
      </c>
    </row>
    <row r="323" ht="15.75" customHeight="1">
      <c r="A323" s="22"/>
      <c r="B323" s="22"/>
      <c r="C323" s="25"/>
      <c r="D323" s="22"/>
      <c r="E323" s="22"/>
      <c r="F323" s="24" t="str">
        <f t="shared" si="1"/>
        <v/>
      </c>
      <c r="G323" s="24" t="str">
        <f t="shared" si="2"/>
        <v/>
      </c>
    </row>
    <row r="324" ht="15.75" customHeight="1">
      <c r="A324" s="22"/>
      <c r="B324" s="22"/>
      <c r="C324" s="25"/>
      <c r="D324" s="22"/>
      <c r="E324" s="22"/>
      <c r="F324" s="24" t="str">
        <f t="shared" si="1"/>
        <v/>
      </c>
      <c r="G324" s="24" t="str">
        <f t="shared" si="2"/>
        <v/>
      </c>
    </row>
    <row r="325" ht="15.75" customHeight="1">
      <c r="A325" s="22"/>
      <c r="B325" s="22"/>
      <c r="C325" s="25"/>
      <c r="D325" s="22"/>
      <c r="E325" s="22"/>
      <c r="F325" s="24" t="str">
        <f t="shared" si="1"/>
        <v/>
      </c>
      <c r="G325" s="24" t="str">
        <f t="shared" si="2"/>
        <v/>
      </c>
    </row>
    <row r="326" ht="15.75" customHeight="1">
      <c r="A326" s="22"/>
      <c r="B326" s="22"/>
      <c r="C326" s="25"/>
      <c r="D326" s="22"/>
      <c r="E326" s="22"/>
      <c r="F326" s="24" t="str">
        <f t="shared" si="1"/>
        <v/>
      </c>
      <c r="G326" s="24" t="str">
        <f t="shared" si="2"/>
        <v/>
      </c>
    </row>
    <row r="327" ht="15.75" customHeight="1">
      <c r="A327" s="22"/>
      <c r="B327" s="22"/>
      <c r="C327" s="25"/>
      <c r="D327" s="22"/>
      <c r="E327" s="22"/>
      <c r="F327" s="24" t="str">
        <f t="shared" si="1"/>
        <v/>
      </c>
      <c r="G327" s="24" t="str">
        <f t="shared" si="2"/>
        <v/>
      </c>
    </row>
    <row r="328" ht="15.75" customHeight="1">
      <c r="A328" s="22"/>
      <c r="B328" s="22"/>
      <c r="C328" s="25"/>
      <c r="D328" s="22"/>
      <c r="E328" s="22"/>
      <c r="F328" s="24" t="str">
        <f t="shared" si="1"/>
        <v/>
      </c>
      <c r="G328" s="24" t="str">
        <f t="shared" si="2"/>
        <v/>
      </c>
    </row>
    <row r="329" ht="15.75" customHeight="1">
      <c r="A329" s="22"/>
      <c r="B329" s="22"/>
      <c r="C329" s="25"/>
      <c r="D329" s="22"/>
      <c r="E329" s="22"/>
      <c r="F329" s="24" t="str">
        <f t="shared" si="1"/>
        <v/>
      </c>
      <c r="G329" s="24" t="str">
        <f t="shared" si="2"/>
        <v/>
      </c>
    </row>
    <row r="330" ht="15.75" customHeight="1">
      <c r="A330" s="22"/>
      <c r="B330" s="22"/>
      <c r="C330" s="25"/>
      <c r="D330" s="22"/>
      <c r="E330" s="22"/>
      <c r="F330" s="24" t="str">
        <f t="shared" si="1"/>
        <v/>
      </c>
      <c r="G330" s="24" t="str">
        <f t="shared" si="2"/>
        <v/>
      </c>
    </row>
    <row r="331" ht="15.75" customHeight="1">
      <c r="A331" s="22"/>
      <c r="B331" s="22"/>
      <c r="C331" s="25"/>
      <c r="D331" s="22"/>
      <c r="E331" s="22"/>
      <c r="F331" s="24" t="str">
        <f t="shared" si="1"/>
        <v/>
      </c>
      <c r="G331" s="24" t="str">
        <f t="shared" si="2"/>
        <v/>
      </c>
    </row>
    <row r="332" ht="15.75" customHeight="1">
      <c r="A332" s="22"/>
      <c r="B332" s="22"/>
      <c r="C332" s="25"/>
      <c r="D332" s="22"/>
      <c r="E332" s="22"/>
      <c r="F332" s="24" t="str">
        <f t="shared" si="1"/>
        <v/>
      </c>
      <c r="G332" s="24" t="str">
        <f t="shared" si="2"/>
        <v/>
      </c>
    </row>
    <row r="333" ht="15.75" customHeight="1">
      <c r="A333" s="22"/>
      <c r="B333" s="22"/>
      <c r="C333" s="25"/>
      <c r="D333" s="22"/>
      <c r="E333" s="22"/>
      <c r="F333" s="24" t="str">
        <f t="shared" si="1"/>
        <v/>
      </c>
      <c r="G333" s="24" t="str">
        <f t="shared" si="2"/>
        <v/>
      </c>
    </row>
    <row r="334" ht="15.75" customHeight="1">
      <c r="A334" s="22"/>
      <c r="B334" s="22"/>
      <c r="C334" s="25"/>
      <c r="D334" s="22"/>
      <c r="E334" s="22"/>
      <c r="F334" s="24" t="str">
        <f t="shared" si="1"/>
        <v/>
      </c>
      <c r="G334" s="24" t="str">
        <f t="shared" si="2"/>
        <v/>
      </c>
    </row>
    <row r="335" ht="15.75" customHeight="1">
      <c r="A335" s="22"/>
      <c r="B335" s="22"/>
      <c r="C335" s="25"/>
      <c r="D335" s="22"/>
      <c r="E335" s="22"/>
      <c r="F335" s="24" t="str">
        <f t="shared" si="1"/>
        <v/>
      </c>
      <c r="G335" s="24" t="str">
        <f t="shared" si="2"/>
        <v/>
      </c>
    </row>
    <row r="336" ht="15.75" customHeight="1">
      <c r="A336" s="22"/>
      <c r="B336" s="22"/>
      <c r="C336" s="25"/>
      <c r="D336" s="22"/>
      <c r="E336" s="22"/>
      <c r="F336" s="24" t="str">
        <f t="shared" si="1"/>
        <v/>
      </c>
      <c r="G336" s="24" t="str">
        <f t="shared" si="2"/>
        <v/>
      </c>
    </row>
    <row r="337" ht="15.75" customHeight="1">
      <c r="A337" s="22"/>
      <c r="B337" s="22"/>
      <c r="C337" s="25"/>
      <c r="D337" s="22"/>
      <c r="E337" s="22"/>
      <c r="F337" s="24" t="str">
        <f t="shared" si="1"/>
        <v/>
      </c>
      <c r="G337" s="24" t="str">
        <f t="shared" si="2"/>
        <v/>
      </c>
    </row>
    <row r="338" ht="15.75" customHeight="1">
      <c r="A338" s="22"/>
      <c r="B338" s="22"/>
      <c r="C338" s="25"/>
      <c r="D338" s="22"/>
      <c r="E338" s="22"/>
      <c r="F338" s="24" t="str">
        <f t="shared" si="1"/>
        <v/>
      </c>
      <c r="G338" s="24" t="str">
        <f t="shared" si="2"/>
        <v/>
      </c>
    </row>
    <row r="339" ht="15.75" customHeight="1">
      <c r="A339" s="22"/>
      <c r="B339" s="22"/>
      <c r="C339" s="25"/>
      <c r="D339" s="22"/>
      <c r="E339" s="22"/>
      <c r="F339" s="24" t="str">
        <f t="shared" si="1"/>
        <v/>
      </c>
      <c r="G339" s="24" t="str">
        <f t="shared" si="2"/>
        <v/>
      </c>
    </row>
    <row r="340" ht="15.75" customHeight="1">
      <c r="A340" s="22"/>
      <c r="B340" s="22"/>
      <c r="C340" s="25"/>
      <c r="D340" s="22"/>
      <c r="E340" s="22"/>
      <c r="F340" s="24" t="str">
        <f t="shared" si="1"/>
        <v/>
      </c>
      <c r="G340" s="24" t="str">
        <f t="shared" si="2"/>
        <v/>
      </c>
    </row>
    <row r="341" ht="15.75" customHeight="1">
      <c r="A341" s="22"/>
      <c r="B341" s="22"/>
      <c r="C341" s="25"/>
      <c r="D341" s="22"/>
      <c r="E341" s="22"/>
      <c r="F341" s="24" t="str">
        <f t="shared" si="1"/>
        <v/>
      </c>
      <c r="G341" s="24" t="str">
        <f t="shared" si="2"/>
        <v/>
      </c>
    </row>
    <row r="342" ht="15.75" customHeight="1">
      <c r="A342" s="22"/>
      <c r="B342" s="22"/>
      <c r="C342" s="25"/>
      <c r="D342" s="22"/>
      <c r="E342" s="22"/>
      <c r="F342" s="24" t="str">
        <f t="shared" si="1"/>
        <v/>
      </c>
      <c r="G342" s="24" t="str">
        <f t="shared" si="2"/>
        <v/>
      </c>
    </row>
    <row r="343" ht="15.75" customHeight="1">
      <c r="A343" s="22"/>
      <c r="B343" s="22"/>
      <c r="C343" s="25"/>
      <c r="D343" s="22"/>
      <c r="E343" s="22"/>
      <c r="F343" s="24" t="str">
        <f t="shared" si="1"/>
        <v/>
      </c>
      <c r="G343" s="24" t="str">
        <f t="shared" si="2"/>
        <v/>
      </c>
    </row>
    <row r="344" ht="15.75" customHeight="1">
      <c r="A344" s="22"/>
      <c r="B344" s="22"/>
      <c r="C344" s="25"/>
      <c r="D344" s="22"/>
      <c r="E344" s="22"/>
      <c r="F344" s="24" t="str">
        <f t="shared" si="1"/>
        <v/>
      </c>
      <c r="G344" s="24" t="str">
        <f t="shared" si="2"/>
        <v/>
      </c>
    </row>
    <row r="345" ht="15.75" customHeight="1">
      <c r="A345" s="22"/>
      <c r="B345" s="22"/>
      <c r="C345" s="25"/>
      <c r="D345" s="22"/>
      <c r="E345" s="22"/>
      <c r="F345" s="24" t="str">
        <f t="shared" si="1"/>
        <v/>
      </c>
      <c r="G345" s="24" t="str">
        <f t="shared" si="2"/>
        <v/>
      </c>
    </row>
    <row r="346" ht="15.75" customHeight="1">
      <c r="A346" s="22"/>
      <c r="B346" s="22"/>
      <c r="C346" s="25"/>
      <c r="D346" s="22"/>
      <c r="E346" s="22"/>
      <c r="F346" s="24" t="str">
        <f t="shared" si="1"/>
        <v/>
      </c>
      <c r="G346" s="24" t="str">
        <f t="shared" si="2"/>
        <v/>
      </c>
    </row>
    <row r="347" ht="15.75" customHeight="1">
      <c r="A347" s="22"/>
      <c r="B347" s="22"/>
      <c r="C347" s="25"/>
      <c r="D347" s="22"/>
      <c r="E347" s="22"/>
      <c r="F347" s="24" t="str">
        <f t="shared" si="1"/>
        <v/>
      </c>
      <c r="G347" s="24" t="str">
        <f t="shared" si="2"/>
        <v/>
      </c>
    </row>
    <row r="348" ht="15.75" customHeight="1">
      <c r="A348" s="22"/>
      <c r="B348" s="22"/>
      <c r="C348" s="25"/>
      <c r="D348" s="22"/>
      <c r="E348" s="22"/>
      <c r="F348" s="24" t="str">
        <f t="shared" si="1"/>
        <v/>
      </c>
      <c r="G348" s="24" t="str">
        <f t="shared" si="2"/>
        <v/>
      </c>
    </row>
    <row r="349" ht="15.75" customHeight="1">
      <c r="A349" s="22"/>
      <c r="B349" s="22"/>
      <c r="C349" s="25"/>
      <c r="D349" s="22"/>
      <c r="E349" s="22"/>
      <c r="F349" s="24" t="str">
        <f t="shared" si="1"/>
        <v/>
      </c>
      <c r="G349" s="24" t="str">
        <f t="shared" si="2"/>
        <v/>
      </c>
    </row>
    <row r="350" ht="15.75" customHeight="1">
      <c r="A350" s="22"/>
      <c r="B350" s="22"/>
      <c r="C350" s="25"/>
      <c r="D350" s="22"/>
      <c r="E350" s="22"/>
      <c r="F350" s="24" t="str">
        <f t="shared" si="1"/>
        <v/>
      </c>
      <c r="G350" s="24" t="str">
        <f t="shared" si="2"/>
        <v/>
      </c>
    </row>
    <row r="351" ht="15.75" customHeight="1">
      <c r="A351" s="22"/>
      <c r="B351" s="22"/>
      <c r="C351" s="25"/>
      <c r="D351" s="22"/>
      <c r="E351" s="22"/>
      <c r="F351" s="24" t="str">
        <f t="shared" si="1"/>
        <v/>
      </c>
      <c r="G351" s="24" t="str">
        <f t="shared" si="2"/>
        <v/>
      </c>
    </row>
    <row r="352" ht="15.75" customHeight="1">
      <c r="A352" s="22"/>
      <c r="B352" s="22"/>
      <c r="C352" s="25"/>
      <c r="D352" s="22"/>
      <c r="E352" s="22"/>
      <c r="F352" s="24" t="str">
        <f t="shared" si="1"/>
        <v/>
      </c>
      <c r="G352" s="24" t="str">
        <f t="shared" si="2"/>
        <v/>
      </c>
    </row>
    <row r="353" ht="15.75" customHeight="1">
      <c r="A353" s="22"/>
      <c r="B353" s="22"/>
      <c r="C353" s="25"/>
      <c r="D353" s="22"/>
      <c r="E353" s="22"/>
      <c r="F353" s="24" t="str">
        <f t="shared" si="1"/>
        <v/>
      </c>
      <c r="G353" s="24" t="str">
        <f t="shared" si="2"/>
        <v/>
      </c>
    </row>
    <row r="354" ht="15.75" customHeight="1">
      <c r="A354" s="22"/>
      <c r="B354" s="22"/>
      <c r="C354" s="25"/>
      <c r="D354" s="22"/>
      <c r="E354" s="22"/>
      <c r="F354" s="24" t="str">
        <f t="shared" si="1"/>
        <v/>
      </c>
      <c r="G354" s="24" t="str">
        <f t="shared" si="2"/>
        <v/>
      </c>
    </row>
    <row r="355" ht="15.75" customHeight="1">
      <c r="A355" s="22"/>
      <c r="B355" s="22"/>
      <c r="C355" s="25"/>
      <c r="D355" s="22"/>
      <c r="E355" s="22"/>
      <c r="F355" s="24" t="str">
        <f t="shared" si="1"/>
        <v/>
      </c>
      <c r="G355" s="24" t="str">
        <f t="shared" si="2"/>
        <v/>
      </c>
    </row>
    <row r="356" ht="15.75" customHeight="1">
      <c r="A356" s="22"/>
      <c r="B356" s="22"/>
      <c r="C356" s="25"/>
      <c r="D356" s="22"/>
      <c r="E356" s="22"/>
      <c r="F356" s="24" t="str">
        <f t="shared" si="1"/>
        <v/>
      </c>
      <c r="G356" s="24" t="str">
        <f t="shared" si="2"/>
        <v/>
      </c>
    </row>
    <row r="357" ht="15.75" customHeight="1">
      <c r="A357" s="22"/>
      <c r="B357" s="22"/>
      <c r="C357" s="25"/>
      <c r="D357" s="22"/>
      <c r="E357" s="22"/>
      <c r="F357" s="24" t="str">
        <f t="shared" si="1"/>
        <v/>
      </c>
      <c r="G357" s="24" t="str">
        <f t="shared" si="2"/>
        <v/>
      </c>
    </row>
    <row r="358" ht="15.75" customHeight="1">
      <c r="A358" s="22"/>
      <c r="B358" s="22"/>
      <c r="C358" s="25"/>
      <c r="D358" s="22"/>
      <c r="E358" s="22"/>
      <c r="F358" s="24" t="str">
        <f t="shared" si="1"/>
        <v/>
      </c>
      <c r="G358" s="24" t="str">
        <f t="shared" si="2"/>
        <v/>
      </c>
    </row>
    <row r="359" ht="15.75" customHeight="1">
      <c r="A359" s="22"/>
      <c r="B359" s="22"/>
      <c r="C359" s="25"/>
      <c r="D359" s="22"/>
      <c r="E359" s="22"/>
      <c r="F359" s="24" t="str">
        <f t="shared" si="1"/>
        <v/>
      </c>
      <c r="G359" s="24" t="str">
        <f t="shared" si="2"/>
        <v/>
      </c>
    </row>
    <row r="360" ht="15.75" customHeight="1">
      <c r="A360" s="22"/>
      <c r="B360" s="22"/>
      <c r="C360" s="25"/>
      <c r="D360" s="22"/>
      <c r="E360" s="22"/>
      <c r="F360" s="24" t="str">
        <f t="shared" si="1"/>
        <v/>
      </c>
      <c r="G360" s="24" t="str">
        <f t="shared" si="2"/>
        <v/>
      </c>
    </row>
    <row r="361" ht="15.75" customHeight="1">
      <c r="A361" s="22"/>
      <c r="B361" s="22"/>
      <c r="C361" s="25"/>
      <c r="D361" s="22"/>
      <c r="E361" s="22"/>
      <c r="F361" s="24" t="str">
        <f t="shared" si="1"/>
        <v/>
      </c>
      <c r="G361" s="24" t="str">
        <f t="shared" si="2"/>
        <v/>
      </c>
    </row>
    <row r="362" ht="15.75" customHeight="1">
      <c r="A362" s="22"/>
      <c r="B362" s="22"/>
      <c r="C362" s="25"/>
      <c r="D362" s="22"/>
      <c r="E362" s="22"/>
      <c r="F362" s="24" t="str">
        <f t="shared" si="1"/>
        <v/>
      </c>
      <c r="G362" s="24" t="str">
        <f t="shared" si="2"/>
        <v/>
      </c>
    </row>
    <row r="363" ht="15.75" customHeight="1">
      <c r="A363" s="22"/>
      <c r="B363" s="22"/>
      <c r="C363" s="25"/>
      <c r="D363" s="22"/>
      <c r="E363" s="22"/>
      <c r="F363" s="24" t="str">
        <f t="shared" si="1"/>
        <v/>
      </c>
      <c r="G363" s="24" t="str">
        <f t="shared" si="2"/>
        <v/>
      </c>
    </row>
    <row r="364" ht="15.75" customHeight="1">
      <c r="A364" s="22"/>
      <c r="B364" s="22"/>
      <c r="C364" s="25"/>
      <c r="D364" s="22"/>
      <c r="E364" s="22"/>
      <c r="F364" s="24" t="str">
        <f t="shared" si="1"/>
        <v/>
      </c>
      <c r="G364" s="24" t="str">
        <f t="shared" si="2"/>
        <v/>
      </c>
    </row>
    <row r="365" ht="15.75" customHeight="1">
      <c r="A365" s="22"/>
      <c r="B365" s="22"/>
      <c r="C365" s="25"/>
      <c r="D365" s="22"/>
      <c r="E365" s="22"/>
      <c r="F365" s="24" t="str">
        <f t="shared" si="1"/>
        <v/>
      </c>
      <c r="G365" s="24" t="str">
        <f t="shared" si="2"/>
        <v/>
      </c>
    </row>
    <row r="366" ht="15.75" customHeight="1">
      <c r="A366" s="22"/>
      <c r="B366" s="22"/>
      <c r="C366" s="25"/>
      <c r="D366" s="22"/>
      <c r="E366" s="22"/>
      <c r="F366" s="24" t="str">
        <f t="shared" si="1"/>
        <v/>
      </c>
      <c r="G366" s="24" t="str">
        <f t="shared" si="2"/>
        <v/>
      </c>
    </row>
    <row r="367" ht="15.75" customHeight="1">
      <c r="A367" s="22"/>
      <c r="B367" s="22"/>
      <c r="C367" s="25"/>
      <c r="D367" s="22"/>
      <c r="E367" s="22"/>
      <c r="F367" s="24" t="str">
        <f t="shared" si="1"/>
        <v/>
      </c>
      <c r="G367" s="24" t="str">
        <f t="shared" si="2"/>
        <v/>
      </c>
    </row>
    <row r="368" ht="15.75" customHeight="1">
      <c r="A368" s="22"/>
      <c r="B368" s="22"/>
      <c r="C368" s="25"/>
      <c r="D368" s="22"/>
      <c r="E368" s="22"/>
      <c r="F368" s="24" t="str">
        <f t="shared" si="1"/>
        <v/>
      </c>
      <c r="G368" s="24" t="str">
        <f t="shared" si="2"/>
        <v/>
      </c>
    </row>
    <row r="369" ht="15.75" customHeight="1">
      <c r="A369" s="22"/>
      <c r="B369" s="22"/>
      <c r="C369" s="25"/>
      <c r="D369" s="22"/>
      <c r="E369" s="22"/>
      <c r="F369" s="24" t="str">
        <f t="shared" si="1"/>
        <v/>
      </c>
      <c r="G369" s="24" t="str">
        <f t="shared" si="2"/>
        <v/>
      </c>
    </row>
    <row r="370" ht="15.75" customHeight="1">
      <c r="A370" s="22"/>
      <c r="B370" s="22"/>
      <c r="C370" s="25"/>
      <c r="D370" s="22"/>
      <c r="E370" s="22"/>
      <c r="F370" s="24" t="str">
        <f t="shared" si="1"/>
        <v/>
      </c>
      <c r="G370" s="24" t="str">
        <f t="shared" si="2"/>
        <v/>
      </c>
    </row>
    <row r="371" ht="15.75" customHeight="1">
      <c r="A371" s="22"/>
      <c r="B371" s="22"/>
      <c r="C371" s="25"/>
      <c r="D371" s="22"/>
      <c r="E371" s="22"/>
      <c r="F371" s="24" t="str">
        <f t="shared" si="1"/>
        <v/>
      </c>
      <c r="G371" s="24" t="str">
        <f t="shared" si="2"/>
        <v/>
      </c>
    </row>
    <row r="372" ht="15.75" customHeight="1">
      <c r="A372" s="22"/>
      <c r="B372" s="22"/>
      <c r="C372" s="25"/>
      <c r="D372" s="22"/>
      <c r="E372" s="22"/>
      <c r="F372" s="24" t="str">
        <f t="shared" si="1"/>
        <v/>
      </c>
      <c r="G372" s="24" t="str">
        <f t="shared" si="2"/>
        <v/>
      </c>
    </row>
    <row r="373" ht="15.75" customHeight="1">
      <c r="A373" s="22"/>
      <c r="B373" s="22"/>
      <c r="C373" s="25"/>
      <c r="D373" s="22"/>
      <c r="E373" s="22"/>
      <c r="F373" s="24" t="str">
        <f t="shared" si="1"/>
        <v/>
      </c>
      <c r="G373" s="24" t="str">
        <f t="shared" si="2"/>
        <v/>
      </c>
    </row>
    <row r="374" ht="15.75" customHeight="1">
      <c r="A374" s="22"/>
      <c r="B374" s="22"/>
      <c r="C374" s="25"/>
      <c r="D374" s="22"/>
      <c r="E374" s="22"/>
      <c r="F374" s="24" t="str">
        <f t="shared" si="1"/>
        <v/>
      </c>
      <c r="G374" s="24" t="str">
        <f t="shared" si="2"/>
        <v/>
      </c>
    </row>
    <row r="375" ht="15.75" customHeight="1">
      <c r="A375" s="22"/>
      <c r="B375" s="22"/>
      <c r="C375" s="25"/>
      <c r="D375" s="22"/>
      <c r="E375" s="22"/>
      <c r="F375" s="24" t="str">
        <f t="shared" si="1"/>
        <v/>
      </c>
      <c r="G375" s="24" t="str">
        <f t="shared" si="2"/>
        <v/>
      </c>
    </row>
    <row r="376" ht="15.75" customHeight="1">
      <c r="A376" s="22"/>
      <c r="B376" s="22"/>
      <c r="C376" s="25"/>
      <c r="D376" s="22"/>
      <c r="E376" s="22"/>
      <c r="F376" s="24" t="str">
        <f t="shared" si="1"/>
        <v/>
      </c>
      <c r="G376" s="24" t="str">
        <f t="shared" si="2"/>
        <v/>
      </c>
    </row>
    <row r="377" ht="15.75" customHeight="1">
      <c r="A377" s="22"/>
      <c r="B377" s="22"/>
      <c r="C377" s="25"/>
      <c r="D377" s="22"/>
      <c r="E377" s="22"/>
      <c r="F377" s="24" t="str">
        <f t="shared" si="1"/>
        <v/>
      </c>
      <c r="G377" s="24" t="str">
        <f t="shared" si="2"/>
        <v/>
      </c>
    </row>
    <row r="378" ht="15.75" customHeight="1">
      <c r="A378" s="22"/>
      <c r="B378" s="22"/>
      <c r="C378" s="25"/>
      <c r="D378" s="22"/>
      <c r="E378" s="22"/>
      <c r="F378" s="24" t="str">
        <f t="shared" si="1"/>
        <v/>
      </c>
      <c r="G378" s="24" t="str">
        <f t="shared" si="2"/>
        <v/>
      </c>
    </row>
    <row r="379" ht="15.75" customHeight="1">
      <c r="A379" s="22"/>
      <c r="B379" s="22"/>
      <c r="C379" s="25"/>
      <c r="D379" s="22"/>
      <c r="E379" s="22"/>
      <c r="F379" s="24" t="str">
        <f t="shared" si="1"/>
        <v/>
      </c>
      <c r="G379" s="24" t="str">
        <f t="shared" si="2"/>
        <v/>
      </c>
    </row>
    <row r="380" ht="15.75" customHeight="1">
      <c r="A380" s="22"/>
      <c r="B380" s="22"/>
      <c r="C380" s="25"/>
      <c r="D380" s="22"/>
      <c r="E380" s="22"/>
      <c r="F380" s="24" t="str">
        <f t="shared" si="1"/>
        <v/>
      </c>
      <c r="G380" s="24" t="str">
        <f t="shared" si="2"/>
        <v/>
      </c>
    </row>
    <row r="381" ht="15.75" customHeight="1">
      <c r="A381" s="22"/>
      <c r="B381" s="22"/>
      <c r="C381" s="25"/>
      <c r="D381" s="22"/>
      <c r="E381" s="22"/>
      <c r="F381" s="24" t="str">
        <f t="shared" si="1"/>
        <v/>
      </c>
      <c r="G381" s="24" t="str">
        <f t="shared" si="2"/>
        <v/>
      </c>
    </row>
    <row r="382" ht="15.75" customHeight="1">
      <c r="A382" s="22"/>
      <c r="B382" s="22"/>
      <c r="C382" s="25"/>
      <c r="D382" s="22"/>
      <c r="E382" s="22"/>
      <c r="F382" s="24" t="str">
        <f t="shared" si="1"/>
        <v/>
      </c>
      <c r="G382" s="24" t="str">
        <f t="shared" si="2"/>
        <v/>
      </c>
    </row>
    <row r="383" ht="15.75" customHeight="1">
      <c r="A383" s="22"/>
      <c r="B383" s="22"/>
      <c r="C383" s="25"/>
      <c r="D383" s="22"/>
      <c r="E383" s="22"/>
      <c r="F383" s="24" t="str">
        <f t="shared" si="1"/>
        <v/>
      </c>
      <c r="G383" s="24" t="str">
        <f t="shared" si="2"/>
        <v/>
      </c>
    </row>
    <row r="384" ht="15.75" customHeight="1">
      <c r="A384" s="22"/>
      <c r="B384" s="22"/>
      <c r="C384" s="25"/>
      <c r="D384" s="22"/>
      <c r="E384" s="22"/>
      <c r="F384" s="24" t="str">
        <f t="shared" si="1"/>
        <v/>
      </c>
      <c r="G384" s="24" t="str">
        <f t="shared" si="2"/>
        <v/>
      </c>
    </row>
    <row r="385" ht="15.75" customHeight="1">
      <c r="A385" s="22"/>
      <c r="B385" s="22"/>
      <c r="C385" s="25"/>
      <c r="D385" s="22"/>
      <c r="E385" s="22"/>
      <c r="F385" s="24" t="str">
        <f t="shared" si="1"/>
        <v/>
      </c>
      <c r="G385" s="24" t="str">
        <f t="shared" si="2"/>
        <v/>
      </c>
    </row>
    <row r="386" ht="15.75" customHeight="1">
      <c r="A386" s="22"/>
      <c r="B386" s="22"/>
      <c r="C386" s="25"/>
      <c r="D386" s="22"/>
      <c r="E386" s="22"/>
      <c r="F386" s="24" t="str">
        <f t="shared" si="1"/>
        <v/>
      </c>
      <c r="G386" s="24" t="str">
        <f t="shared" si="2"/>
        <v/>
      </c>
    </row>
    <row r="387" ht="15.75" customHeight="1">
      <c r="A387" s="22"/>
      <c r="B387" s="22"/>
      <c r="C387" s="25"/>
      <c r="D387" s="22"/>
      <c r="E387" s="22"/>
      <c r="F387" s="24" t="str">
        <f t="shared" si="1"/>
        <v/>
      </c>
      <c r="G387" s="24" t="str">
        <f t="shared" si="2"/>
        <v/>
      </c>
    </row>
    <row r="388" ht="15.75" customHeight="1">
      <c r="A388" s="22"/>
      <c r="B388" s="22"/>
      <c r="C388" s="25"/>
      <c r="D388" s="22"/>
      <c r="E388" s="22"/>
      <c r="F388" s="24" t="str">
        <f t="shared" si="1"/>
        <v/>
      </c>
      <c r="G388" s="24" t="str">
        <f t="shared" si="2"/>
        <v/>
      </c>
    </row>
    <row r="389" ht="15.75" customHeight="1">
      <c r="A389" s="22"/>
      <c r="B389" s="22"/>
      <c r="C389" s="25"/>
      <c r="D389" s="22"/>
      <c r="E389" s="22"/>
      <c r="F389" s="24" t="str">
        <f t="shared" si="1"/>
        <v/>
      </c>
      <c r="G389" s="24" t="str">
        <f t="shared" si="2"/>
        <v/>
      </c>
    </row>
    <row r="390" ht="15.75" customHeight="1">
      <c r="A390" s="22"/>
      <c r="B390" s="22"/>
      <c r="C390" s="25"/>
      <c r="D390" s="22"/>
      <c r="E390" s="22"/>
      <c r="F390" s="24" t="str">
        <f t="shared" si="1"/>
        <v/>
      </c>
      <c r="G390" s="24" t="str">
        <f t="shared" si="2"/>
        <v/>
      </c>
    </row>
    <row r="391" ht="15.75" customHeight="1">
      <c r="A391" s="22"/>
      <c r="B391" s="22"/>
      <c r="C391" s="25"/>
      <c r="D391" s="22"/>
      <c r="E391" s="22"/>
      <c r="F391" s="24" t="str">
        <f t="shared" si="1"/>
        <v/>
      </c>
      <c r="G391" s="24" t="str">
        <f t="shared" si="2"/>
        <v/>
      </c>
    </row>
    <row r="392" ht="15.75" customHeight="1">
      <c r="A392" s="22"/>
      <c r="B392" s="22"/>
      <c r="C392" s="25"/>
      <c r="D392" s="22"/>
      <c r="E392" s="22"/>
      <c r="F392" s="24" t="str">
        <f t="shared" si="1"/>
        <v/>
      </c>
      <c r="G392" s="24" t="str">
        <f t="shared" si="2"/>
        <v/>
      </c>
    </row>
    <row r="393" ht="15.75" customHeight="1">
      <c r="A393" s="22"/>
      <c r="B393" s="22"/>
      <c r="C393" s="25"/>
      <c r="D393" s="22"/>
      <c r="E393" s="22"/>
      <c r="F393" s="24" t="str">
        <f t="shared" si="1"/>
        <v/>
      </c>
      <c r="G393" s="24" t="str">
        <f t="shared" si="2"/>
        <v/>
      </c>
    </row>
    <row r="394" ht="15.75" customHeight="1">
      <c r="A394" s="22"/>
      <c r="B394" s="22"/>
      <c r="C394" s="25"/>
      <c r="D394" s="22"/>
      <c r="E394" s="22"/>
      <c r="F394" s="24" t="str">
        <f t="shared" si="1"/>
        <v/>
      </c>
      <c r="G394" s="24" t="str">
        <f t="shared" si="2"/>
        <v/>
      </c>
    </row>
    <row r="395" ht="15.75" customHeight="1">
      <c r="A395" s="22"/>
      <c r="B395" s="22"/>
      <c r="C395" s="25"/>
      <c r="D395" s="22"/>
      <c r="E395" s="22"/>
      <c r="F395" s="24" t="str">
        <f t="shared" si="1"/>
        <v/>
      </c>
      <c r="G395" s="24" t="str">
        <f t="shared" si="2"/>
        <v/>
      </c>
    </row>
    <row r="396" ht="15.75" customHeight="1">
      <c r="A396" s="22"/>
      <c r="B396" s="22"/>
      <c r="C396" s="25"/>
      <c r="D396" s="22"/>
      <c r="E396" s="22"/>
      <c r="F396" s="24" t="str">
        <f t="shared" si="1"/>
        <v/>
      </c>
      <c r="G396" s="24" t="str">
        <f t="shared" si="2"/>
        <v/>
      </c>
    </row>
    <row r="397" ht="15.75" customHeight="1">
      <c r="A397" s="22"/>
      <c r="B397" s="22"/>
      <c r="C397" s="25"/>
      <c r="D397" s="22"/>
      <c r="E397" s="22"/>
      <c r="F397" s="24" t="str">
        <f t="shared" si="1"/>
        <v/>
      </c>
      <c r="G397" s="24" t="str">
        <f t="shared" si="2"/>
        <v/>
      </c>
    </row>
    <row r="398" ht="15.75" customHeight="1">
      <c r="A398" s="22"/>
      <c r="B398" s="22"/>
      <c r="C398" s="25"/>
      <c r="D398" s="22"/>
      <c r="E398" s="22"/>
      <c r="F398" s="24" t="str">
        <f t="shared" si="1"/>
        <v/>
      </c>
      <c r="G398" s="24" t="str">
        <f t="shared" si="2"/>
        <v/>
      </c>
    </row>
    <row r="399" ht="15.75" customHeight="1">
      <c r="A399" s="22"/>
      <c r="B399" s="22"/>
      <c r="C399" s="25"/>
      <c r="D399" s="22"/>
      <c r="E399" s="22"/>
      <c r="F399" s="24" t="str">
        <f t="shared" si="1"/>
        <v/>
      </c>
      <c r="G399" s="24" t="str">
        <f t="shared" si="2"/>
        <v/>
      </c>
    </row>
    <row r="400" ht="15.75" customHeight="1">
      <c r="A400" s="22"/>
      <c r="B400" s="22"/>
      <c r="C400" s="25"/>
      <c r="D400" s="22"/>
      <c r="E400" s="22"/>
      <c r="F400" s="24" t="str">
        <f t="shared" si="1"/>
        <v/>
      </c>
      <c r="G400" s="24" t="str">
        <f t="shared" si="2"/>
        <v/>
      </c>
    </row>
    <row r="401" ht="15.75" customHeight="1">
      <c r="A401" s="22"/>
      <c r="B401" s="22"/>
      <c r="C401" s="25"/>
      <c r="D401" s="22"/>
      <c r="E401" s="22"/>
      <c r="F401" s="24" t="str">
        <f t="shared" si="1"/>
        <v/>
      </c>
      <c r="G401" s="24" t="str">
        <f t="shared" si="2"/>
        <v/>
      </c>
    </row>
    <row r="402" ht="15.75" customHeight="1">
      <c r="A402" s="22"/>
      <c r="B402" s="22"/>
      <c r="C402" s="25"/>
      <c r="D402" s="22"/>
      <c r="E402" s="22"/>
      <c r="F402" s="24" t="str">
        <f t="shared" si="1"/>
        <v/>
      </c>
      <c r="G402" s="24" t="str">
        <f t="shared" si="2"/>
        <v/>
      </c>
    </row>
    <row r="403" ht="15.75" customHeight="1">
      <c r="A403" s="22"/>
      <c r="B403" s="22"/>
      <c r="C403" s="25"/>
      <c r="D403" s="22"/>
      <c r="E403" s="22"/>
      <c r="F403" s="24" t="str">
        <f t="shared" si="1"/>
        <v/>
      </c>
      <c r="G403" s="24" t="str">
        <f t="shared" si="2"/>
        <v/>
      </c>
    </row>
    <row r="404" ht="15.75" customHeight="1">
      <c r="A404" s="22"/>
      <c r="B404" s="22"/>
      <c r="C404" s="25"/>
      <c r="D404" s="22"/>
      <c r="E404" s="22"/>
      <c r="F404" s="24" t="str">
        <f t="shared" si="1"/>
        <v/>
      </c>
      <c r="G404" s="24" t="str">
        <f t="shared" si="2"/>
        <v/>
      </c>
    </row>
    <row r="405" ht="15.75" customHeight="1">
      <c r="A405" s="22"/>
      <c r="B405" s="22"/>
      <c r="C405" s="25"/>
      <c r="D405" s="22"/>
      <c r="E405" s="22"/>
      <c r="F405" s="24" t="str">
        <f t="shared" si="1"/>
        <v/>
      </c>
      <c r="G405" s="24" t="str">
        <f t="shared" si="2"/>
        <v/>
      </c>
    </row>
    <row r="406" ht="15.75" customHeight="1">
      <c r="A406" s="22"/>
      <c r="B406" s="22"/>
      <c r="C406" s="25"/>
      <c r="D406" s="22"/>
      <c r="E406" s="22"/>
      <c r="F406" s="24" t="str">
        <f t="shared" si="1"/>
        <v/>
      </c>
      <c r="G406" s="24" t="str">
        <f t="shared" si="2"/>
        <v/>
      </c>
    </row>
    <row r="407" ht="15.75" customHeight="1">
      <c r="A407" s="22"/>
      <c r="B407" s="22"/>
      <c r="C407" s="25"/>
      <c r="D407" s="22"/>
      <c r="E407" s="22"/>
      <c r="F407" s="24" t="str">
        <f t="shared" si="1"/>
        <v/>
      </c>
      <c r="G407" s="24" t="str">
        <f t="shared" si="2"/>
        <v/>
      </c>
    </row>
    <row r="408" ht="15.75" customHeight="1">
      <c r="A408" s="22"/>
      <c r="B408" s="22"/>
      <c r="C408" s="25"/>
      <c r="D408" s="22"/>
      <c r="E408" s="22"/>
      <c r="F408" s="24" t="str">
        <f t="shared" si="1"/>
        <v/>
      </c>
      <c r="G408" s="24" t="str">
        <f t="shared" si="2"/>
        <v/>
      </c>
    </row>
    <row r="409" ht="15.75" customHeight="1">
      <c r="A409" s="22"/>
      <c r="B409" s="22"/>
      <c r="C409" s="25"/>
      <c r="D409" s="22"/>
      <c r="E409" s="22"/>
      <c r="F409" s="24" t="str">
        <f t="shared" si="1"/>
        <v/>
      </c>
      <c r="G409" s="24" t="str">
        <f t="shared" si="2"/>
        <v/>
      </c>
    </row>
    <row r="410" ht="15.75" customHeight="1">
      <c r="A410" s="22"/>
      <c r="B410" s="22"/>
      <c r="C410" s="25"/>
      <c r="D410" s="22"/>
      <c r="E410" s="22"/>
      <c r="F410" s="24" t="str">
        <f t="shared" si="1"/>
        <v/>
      </c>
      <c r="G410" s="24" t="str">
        <f t="shared" si="2"/>
        <v/>
      </c>
    </row>
    <row r="411" ht="15.75" customHeight="1">
      <c r="A411" s="22"/>
      <c r="B411" s="22"/>
      <c r="C411" s="25"/>
      <c r="D411" s="22"/>
      <c r="E411" s="22"/>
      <c r="F411" s="24" t="str">
        <f t="shared" si="1"/>
        <v/>
      </c>
      <c r="G411" s="24" t="str">
        <f t="shared" si="2"/>
        <v/>
      </c>
    </row>
    <row r="412" ht="15.75" customHeight="1">
      <c r="A412" s="22"/>
      <c r="B412" s="22"/>
      <c r="C412" s="25"/>
      <c r="D412" s="22"/>
      <c r="E412" s="22"/>
      <c r="F412" s="24" t="str">
        <f t="shared" si="1"/>
        <v/>
      </c>
      <c r="G412" s="24" t="str">
        <f t="shared" si="2"/>
        <v/>
      </c>
    </row>
    <row r="413" ht="15.75" customHeight="1">
      <c r="A413" s="22"/>
      <c r="B413" s="22"/>
      <c r="C413" s="25"/>
      <c r="D413" s="22"/>
      <c r="E413" s="22"/>
      <c r="F413" s="24" t="str">
        <f t="shared" si="1"/>
        <v/>
      </c>
      <c r="G413" s="24" t="str">
        <f t="shared" si="2"/>
        <v/>
      </c>
    </row>
    <row r="414" ht="15.75" customHeight="1">
      <c r="A414" s="22"/>
      <c r="B414" s="22"/>
      <c r="C414" s="25"/>
      <c r="D414" s="22"/>
      <c r="E414" s="22"/>
      <c r="F414" s="24" t="str">
        <f t="shared" si="1"/>
        <v/>
      </c>
      <c r="G414" s="24" t="str">
        <f t="shared" si="2"/>
        <v/>
      </c>
    </row>
    <row r="415" ht="15.75" customHeight="1">
      <c r="A415" s="22"/>
      <c r="B415" s="22"/>
      <c r="C415" s="25"/>
      <c r="D415" s="22"/>
      <c r="E415" s="22"/>
      <c r="F415" s="24" t="str">
        <f t="shared" si="1"/>
        <v/>
      </c>
      <c r="G415" s="24" t="str">
        <f t="shared" si="2"/>
        <v/>
      </c>
    </row>
    <row r="416" ht="15.75" customHeight="1">
      <c r="A416" s="22"/>
      <c r="B416" s="22"/>
      <c r="C416" s="25"/>
      <c r="D416" s="22"/>
      <c r="E416" s="22"/>
      <c r="F416" s="24" t="str">
        <f t="shared" si="1"/>
        <v/>
      </c>
      <c r="G416" s="24" t="str">
        <f t="shared" si="2"/>
        <v/>
      </c>
    </row>
    <row r="417" ht="15.75" customHeight="1">
      <c r="A417" s="22"/>
      <c r="B417" s="22"/>
      <c r="C417" s="25"/>
      <c r="D417" s="22"/>
      <c r="E417" s="22"/>
      <c r="F417" s="24" t="str">
        <f t="shared" si="1"/>
        <v/>
      </c>
      <c r="G417" s="24" t="str">
        <f t="shared" si="2"/>
        <v/>
      </c>
    </row>
    <row r="418" ht="15.75" customHeight="1">
      <c r="A418" s="22"/>
      <c r="B418" s="22"/>
      <c r="C418" s="25"/>
      <c r="D418" s="22"/>
      <c r="E418" s="22"/>
      <c r="F418" s="24" t="str">
        <f t="shared" si="1"/>
        <v/>
      </c>
      <c r="G418" s="24" t="str">
        <f t="shared" si="2"/>
        <v/>
      </c>
    </row>
    <row r="419" ht="15.75" customHeight="1">
      <c r="A419" s="22"/>
      <c r="B419" s="22"/>
      <c r="C419" s="25"/>
      <c r="D419" s="22"/>
      <c r="E419" s="22"/>
      <c r="F419" s="24" t="str">
        <f t="shared" si="1"/>
        <v/>
      </c>
      <c r="G419" s="24" t="str">
        <f t="shared" si="2"/>
        <v/>
      </c>
    </row>
    <row r="420" ht="15.75" customHeight="1">
      <c r="A420" s="22"/>
      <c r="B420" s="22"/>
      <c r="C420" s="25"/>
      <c r="D420" s="22"/>
      <c r="E420" s="22"/>
      <c r="F420" s="24" t="str">
        <f t="shared" si="1"/>
        <v/>
      </c>
      <c r="G420" s="24" t="str">
        <f t="shared" si="2"/>
        <v/>
      </c>
    </row>
    <row r="421" ht="15.75" customHeight="1">
      <c r="A421" s="22"/>
      <c r="B421" s="22"/>
      <c r="C421" s="25"/>
      <c r="D421" s="22"/>
      <c r="E421" s="22"/>
      <c r="F421" s="24" t="str">
        <f t="shared" si="1"/>
        <v/>
      </c>
      <c r="G421" s="24" t="str">
        <f t="shared" si="2"/>
        <v/>
      </c>
    </row>
    <row r="422" ht="15.75" customHeight="1">
      <c r="A422" s="22"/>
      <c r="B422" s="22"/>
      <c r="C422" s="25"/>
      <c r="D422" s="22"/>
      <c r="E422" s="22"/>
      <c r="F422" s="24" t="str">
        <f t="shared" si="1"/>
        <v/>
      </c>
      <c r="G422" s="24" t="str">
        <f t="shared" si="2"/>
        <v/>
      </c>
    </row>
    <row r="423" ht="15.75" customHeight="1">
      <c r="A423" s="22"/>
      <c r="B423" s="22"/>
      <c r="C423" s="25"/>
      <c r="D423" s="22"/>
      <c r="E423" s="22"/>
      <c r="F423" s="24" t="str">
        <f t="shared" si="1"/>
        <v/>
      </c>
      <c r="G423" s="24" t="str">
        <f t="shared" si="2"/>
        <v/>
      </c>
    </row>
    <row r="424" ht="15.75" customHeight="1">
      <c r="A424" s="22"/>
      <c r="B424" s="22"/>
      <c r="C424" s="25"/>
      <c r="D424" s="22"/>
      <c r="E424" s="22"/>
      <c r="F424" s="24" t="str">
        <f t="shared" si="1"/>
        <v/>
      </c>
      <c r="G424" s="24" t="str">
        <f t="shared" si="2"/>
        <v/>
      </c>
    </row>
    <row r="425" ht="15.75" customHeight="1">
      <c r="A425" s="22"/>
      <c r="B425" s="22"/>
      <c r="C425" s="25"/>
      <c r="D425" s="22"/>
      <c r="E425" s="22"/>
      <c r="F425" s="24" t="str">
        <f t="shared" si="1"/>
        <v/>
      </c>
      <c r="G425" s="24" t="str">
        <f t="shared" si="2"/>
        <v/>
      </c>
    </row>
    <row r="426" ht="15.75" customHeight="1">
      <c r="A426" s="22"/>
      <c r="B426" s="22"/>
      <c r="C426" s="25"/>
      <c r="D426" s="22"/>
      <c r="E426" s="22"/>
      <c r="F426" s="24" t="str">
        <f t="shared" si="1"/>
        <v/>
      </c>
      <c r="G426" s="24" t="str">
        <f t="shared" si="2"/>
        <v/>
      </c>
    </row>
    <row r="427" ht="15.75" customHeight="1">
      <c r="A427" s="22"/>
      <c r="B427" s="22"/>
      <c r="C427" s="25"/>
      <c r="D427" s="22"/>
      <c r="E427" s="22"/>
      <c r="F427" s="24" t="str">
        <f t="shared" si="1"/>
        <v/>
      </c>
      <c r="G427" s="24" t="str">
        <f t="shared" si="2"/>
        <v/>
      </c>
    </row>
    <row r="428" ht="15.75" customHeight="1">
      <c r="A428" s="22"/>
      <c r="B428" s="22"/>
      <c r="C428" s="25"/>
      <c r="D428" s="22"/>
      <c r="E428" s="22"/>
      <c r="F428" s="24" t="str">
        <f t="shared" si="1"/>
        <v/>
      </c>
      <c r="G428" s="24" t="str">
        <f t="shared" si="2"/>
        <v/>
      </c>
    </row>
    <row r="429" ht="15.75" customHeight="1">
      <c r="A429" s="22"/>
      <c r="B429" s="22"/>
      <c r="C429" s="25"/>
      <c r="D429" s="22"/>
      <c r="E429" s="22"/>
      <c r="F429" s="24" t="str">
        <f t="shared" si="1"/>
        <v/>
      </c>
      <c r="G429" s="24" t="str">
        <f t="shared" si="2"/>
        <v/>
      </c>
    </row>
    <row r="430" ht="15.75" customHeight="1">
      <c r="A430" s="22"/>
      <c r="B430" s="22"/>
      <c r="C430" s="25"/>
      <c r="D430" s="22"/>
      <c r="E430" s="22"/>
      <c r="F430" s="24" t="str">
        <f t="shared" si="1"/>
        <v/>
      </c>
      <c r="G430" s="24" t="str">
        <f t="shared" si="2"/>
        <v/>
      </c>
    </row>
    <row r="431" ht="15.75" customHeight="1">
      <c r="A431" s="22"/>
      <c r="B431" s="22"/>
      <c r="C431" s="25"/>
      <c r="D431" s="22"/>
      <c r="E431" s="22"/>
      <c r="F431" s="24" t="str">
        <f t="shared" si="1"/>
        <v/>
      </c>
      <c r="G431" s="24" t="str">
        <f t="shared" si="2"/>
        <v/>
      </c>
    </row>
    <row r="432" ht="15.75" customHeight="1">
      <c r="A432" s="22"/>
      <c r="B432" s="22"/>
      <c r="C432" s="25"/>
      <c r="D432" s="22"/>
      <c r="E432" s="22"/>
      <c r="F432" s="24" t="str">
        <f t="shared" si="1"/>
        <v/>
      </c>
      <c r="G432" s="24" t="str">
        <f t="shared" si="2"/>
        <v/>
      </c>
    </row>
    <row r="433" ht="15.75" customHeight="1">
      <c r="A433" s="22"/>
      <c r="B433" s="22"/>
      <c r="C433" s="25"/>
      <c r="D433" s="22"/>
      <c r="E433" s="22"/>
      <c r="F433" s="24" t="str">
        <f t="shared" si="1"/>
        <v/>
      </c>
      <c r="G433" s="24" t="str">
        <f t="shared" si="2"/>
        <v/>
      </c>
    </row>
    <row r="434" ht="15.75" customHeight="1">
      <c r="A434" s="22"/>
      <c r="B434" s="22"/>
      <c r="C434" s="25"/>
      <c r="D434" s="22"/>
      <c r="E434" s="22"/>
      <c r="F434" s="24" t="str">
        <f t="shared" si="1"/>
        <v/>
      </c>
      <c r="G434" s="24" t="str">
        <f t="shared" si="2"/>
        <v/>
      </c>
    </row>
    <row r="435" ht="15.75" customHeight="1">
      <c r="A435" s="22"/>
      <c r="B435" s="22"/>
      <c r="C435" s="25"/>
      <c r="D435" s="22"/>
      <c r="E435" s="22"/>
      <c r="F435" s="24" t="str">
        <f t="shared" si="1"/>
        <v/>
      </c>
      <c r="G435" s="24" t="str">
        <f t="shared" si="2"/>
        <v/>
      </c>
    </row>
    <row r="436" ht="15.75" customHeight="1">
      <c r="A436" s="22"/>
      <c r="B436" s="22"/>
      <c r="C436" s="25"/>
      <c r="D436" s="22"/>
      <c r="E436" s="22"/>
      <c r="F436" s="24" t="str">
        <f t="shared" si="1"/>
        <v/>
      </c>
      <c r="G436" s="24" t="str">
        <f t="shared" si="2"/>
        <v/>
      </c>
    </row>
    <row r="437" ht="15.75" customHeight="1">
      <c r="A437" s="22"/>
      <c r="B437" s="22"/>
      <c r="C437" s="25"/>
      <c r="D437" s="22"/>
      <c r="E437" s="22"/>
      <c r="F437" s="24" t="str">
        <f t="shared" si="1"/>
        <v/>
      </c>
      <c r="G437" s="24" t="str">
        <f t="shared" si="2"/>
        <v/>
      </c>
    </row>
    <row r="438" ht="15.75" customHeight="1">
      <c r="A438" s="22"/>
      <c r="B438" s="22"/>
      <c r="C438" s="25"/>
      <c r="D438" s="22"/>
      <c r="E438" s="22"/>
      <c r="F438" s="24" t="str">
        <f t="shared" si="1"/>
        <v/>
      </c>
      <c r="G438" s="24" t="str">
        <f t="shared" si="2"/>
        <v/>
      </c>
    </row>
    <row r="439" ht="15.75" customHeight="1">
      <c r="A439" s="22"/>
      <c r="B439" s="22"/>
      <c r="C439" s="25"/>
      <c r="D439" s="22"/>
      <c r="E439" s="22"/>
      <c r="F439" s="24" t="str">
        <f t="shared" si="1"/>
        <v/>
      </c>
      <c r="G439" s="24" t="str">
        <f t="shared" si="2"/>
        <v/>
      </c>
    </row>
    <row r="440" ht="15.75" customHeight="1">
      <c r="A440" s="22"/>
      <c r="B440" s="22"/>
      <c r="C440" s="25"/>
      <c r="D440" s="22"/>
      <c r="E440" s="22"/>
      <c r="F440" s="24" t="str">
        <f t="shared" si="1"/>
        <v/>
      </c>
      <c r="G440" s="24" t="str">
        <f t="shared" si="2"/>
        <v/>
      </c>
    </row>
    <row r="441" ht="15.75" customHeight="1">
      <c r="A441" s="22"/>
      <c r="B441" s="22"/>
      <c r="C441" s="25"/>
      <c r="D441" s="22"/>
      <c r="E441" s="22"/>
      <c r="F441" s="24" t="str">
        <f t="shared" si="1"/>
        <v/>
      </c>
      <c r="G441" s="24" t="str">
        <f t="shared" si="2"/>
        <v/>
      </c>
    </row>
    <row r="442" ht="15.75" customHeight="1">
      <c r="A442" s="22"/>
      <c r="B442" s="22"/>
      <c r="C442" s="25"/>
      <c r="D442" s="22"/>
      <c r="E442" s="22"/>
      <c r="F442" s="24" t="str">
        <f t="shared" si="1"/>
        <v/>
      </c>
      <c r="G442" s="24" t="str">
        <f t="shared" si="2"/>
        <v/>
      </c>
    </row>
    <row r="443" ht="15.75" customHeight="1">
      <c r="A443" s="22"/>
      <c r="B443" s="22"/>
      <c r="C443" s="25"/>
      <c r="D443" s="22"/>
      <c r="E443" s="22"/>
      <c r="F443" s="24" t="str">
        <f t="shared" si="1"/>
        <v/>
      </c>
      <c r="G443" s="24" t="str">
        <f t="shared" si="2"/>
        <v/>
      </c>
    </row>
    <row r="444" ht="15.75" customHeight="1">
      <c r="A444" s="22"/>
      <c r="B444" s="22"/>
      <c r="C444" s="25"/>
      <c r="D444" s="22"/>
      <c r="E444" s="22"/>
      <c r="F444" s="24" t="str">
        <f t="shared" si="1"/>
        <v/>
      </c>
      <c r="G444" s="24" t="str">
        <f t="shared" si="2"/>
        <v/>
      </c>
    </row>
    <row r="445" ht="15.75" customHeight="1">
      <c r="A445" s="22"/>
      <c r="B445" s="22"/>
      <c r="C445" s="25"/>
      <c r="D445" s="22"/>
      <c r="E445" s="22"/>
      <c r="F445" s="24" t="str">
        <f t="shared" si="1"/>
        <v/>
      </c>
      <c r="G445" s="24" t="str">
        <f t="shared" si="2"/>
        <v/>
      </c>
    </row>
    <row r="446" ht="15.75" customHeight="1">
      <c r="A446" s="22"/>
      <c r="B446" s="22"/>
      <c r="C446" s="25"/>
      <c r="D446" s="22"/>
      <c r="E446" s="22"/>
      <c r="F446" s="24" t="str">
        <f t="shared" si="1"/>
        <v/>
      </c>
      <c r="G446" s="24" t="str">
        <f t="shared" si="2"/>
        <v/>
      </c>
    </row>
    <row r="447" ht="15.75" customHeight="1">
      <c r="A447" s="22"/>
      <c r="B447" s="22"/>
      <c r="C447" s="25"/>
      <c r="D447" s="22"/>
      <c r="E447" s="22"/>
      <c r="F447" s="24" t="str">
        <f t="shared" si="1"/>
        <v/>
      </c>
      <c r="G447" s="24" t="str">
        <f t="shared" si="2"/>
        <v/>
      </c>
    </row>
    <row r="448" ht="15.75" customHeight="1">
      <c r="A448" s="22"/>
      <c r="B448" s="22"/>
      <c r="C448" s="25"/>
      <c r="D448" s="22"/>
      <c r="E448" s="22"/>
      <c r="F448" s="24" t="str">
        <f t="shared" si="1"/>
        <v/>
      </c>
      <c r="G448" s="24" t="str">
        <f t="shared" si="2"/>
        <v/>
      </c>
    </row>
    <row r="449" ht="15.75" customHeight="1">
      <c r="A449" s="22"/>
      <c r="B449" s="22"/>
      <c r="C449" s="25"/>
      <c r="D449" s="22"/>
      <c r="E449" s="22"/>
      <c r="F449" s="24" t="str">
        <f t="shared" si="1"/>
        <v/>
      </c>
      <c r="G449" s="24" t="str">
        <f t="shared" si="2"/>
        <v/>
      </c>
    </row>
    <row r="450" ht="15.75" customHeight="1">
      <c r="A450" s="22"/>
      <c r="B450" s="22"/>
      <c r="C450" s="25"/>
      <c r="D450" s="22"/>
      <c r="E450" s="22"/>
      <c r="F450" s="24" t="str">
        <f t="shared" si="1"/>
        <v/>
      </c>
      <c r="G450" s="24" t="str">
        <f t="shared" si="2"/>
        <v/>
      </c>
    </row>
    <row r="451" ht="15.75" customHeight="1">
      <c r="A451" s="22"/>
      <c r="B451" s="22"/>
      <c r="C451" s="25"/>
      <c r="D451" s="22"/>
      <c r="E451" s="22"/>
      <c r="F451" s="24" t="str">
        <f t="shared" si="1"/>
        <v/>
      </c>
      <c r="G451" s="24" t="str">
        <f t="shared" si="2"/>
        <v/>
      </c>
    </row>
    <row r="452" ht="15.75" customHeight="1">
      <c r="A452" s="22"/>
      <c r="B452" s="22"/>
      <c r="C452" s="25"/>
      <c r="D452" s="22"/>
      <c r="E452" s="22"/>
      <c r="F452" s="24" t="str">
        <f t="shared" si="1"/>
        <v/>
      </c>
      <c r="G452" s="24" t="str">
        <f t="shared" si="2"/>
        <v/>
      </c>
    </row>
    <row r="453" ht="15.75" customHeight="1">
      <c r="A453" s="22"/>
      <c r="B453" s="22"/>
      <c r="C453" s="25"/>
      <c r="D453" s="22"/>
      <c r="E453" s="22"/>
      <c r="F453" s="24" t="str">
        <f t="shared" si="1"/>
        <v/>
      </c>
      <c r="G453" s="24" t="str">
        <f t="shared" si="2"/>
        <v/>
      </c>
    </row>
    <row r="454" ht="15.75" customHeight="1">
      <c r="A454" s="22"/>
      <c r="B454" s="22"/>
      <c r="C454" s="25"/>
      <c r="D454" s="22"/>
      <c r="E454" s="22"/>
      <c r="F454" s="24" t="str">
        <f t="shared" si="1"/>
        <v/>
      </c>
      <c r="G454" s="24" t="str">
        <f t="shared" si="2"/>
        <v/>
      </c>
    </row>
    <row r="455" ht="15.75" customHeight="1">
      <c r="A455" s="22"/>
      <c r="B455" s="22"/>
      <c r="C455" s="25"/>
      <c r="D455" s="22"/>
      <c r="E455" s="22"/>
      <c r="F455" s="24" t="str">
        <f t="shared" si="1"/>
        <v/>
      </c>
      <c r="G455" s="24" t="str">
        <f t="shared" si="2"/>
        <v/>
      </c>
    </row>
    <row r="456" ht="15.75" customHeight="1">
      <c r="A456" s="22"/>
      <c r="B456" s="22"/>
      <c r="C456" s="25"/>
      <c r="D456" s="22"/>
      <c r="E456" s="22"/>
      <c r="F456" s="24" t="str">
        <f t="shared" si="1"/>
        <v/>
      </c>
      <c r="G456" s="24" t="str">
        <f t="shared" si="2"/>
        <v/>
      </c>
    </row>
    <row r="457" ht="15.75" customHeight="1">
      <c r="A457" s="22"/>
      <c r="B457" s="22"/>
      <c r="C457" s="25"/>
      <c r="D457" s="22"/>
      <c r="E457" s="22"/>
      <c r="F457" s="24" t="str">
        <f t="shared" si="1"/>
        <v/>
      </c>
      <c r="G457" s="24" t="str">
        <f t="shared" si="2"/>
        <v/>
      </c>
    </row>
    <row r="458" ht="15.75" customHeight="1">
      <c r="A458" s="22"/>
      <c r="B458" s="22"/>
      <c r="C458" s="25"/>
      <c r="D458" s="22"/>
      <c r="E458" s="22"/>
      <c r="F458" s="24" t="str">
        <f t="shared" si="1"/>
        <v/>
      </c>
      <c r="G458" s="24" t="str">
        <f t="shared" si="2"/>
        <v/>
      </c>
    </row>
    <row r="459" ht="15.75" customHeight="1">
      <c r="A459" s="22"/>
      <c r="B459" s="22"/>
      <c r="C459" s="25"/>
      <c r="D459" s="22"/>
      <c r="E459" s="22"/>
      <c r="F459" s="24" t="str">
        <f t="shared" si="1"/>
        <v/>
      </c>
      <c r="G459" s="24" t="str">
        <f t="shared" si="2"/>
        <v/>
      </c>
    </row>
    <row r="460" ht="15.75" customHeight="1">
      <c r="A460" s="22"/>
      <c r="B460" s="22"/>
      <c r="C460" s="25"/>
      <c r="D460" s="22"/>
      <c r="E460" s="22"/>
      <c r="F460" s="24" t="str">
        <f t="shared" si="1"/>
        <v/>
      </c>
      <c r="G460" s="24" t="str">
        <f t="shared" si="2"/>
        <v/>
      </c>
    </row>
    <row r="461" ht="15.75" customHeight="1">
      <c r="A461" s="22"/>
      <c r="B461" s="22"/>
      <c r="C461" s="25"/>
      <c r="D461" s="22"/>
      <c r="E461" s="22"/>
      <c r="F461" s="24" t="str">
        <f t="shared" si="1"/>
        <v/>
      </c>
      <c r="G461" s="24" t="str">
        <f t="shared" si="2"/>
        <v/>
      </c>
    </row>
    <row r="462" ht="15.75" customHeight="1">
      <c r="A462" s="22"/>
      <c r="B462" s="22"/>
      <c r="C462" s="25"/>
      <c r="D462" s="22"/>
      <c r="E462" s="22"/>
      <c r="F462" s="24" t="str">
        <f t="shared" si="1"/>
        <v/>
      </c>
      <c r="G462" s="24" t="str">
        <f t="shared" si="2"/>
        <v/>
      </c>
    </row>
    <row r="463" ht="15.75" customHeight="1">
      <c r="A463" s="22"/>
      <c r="B463" s="22"/>
      <c r="C463" s="25"/>
      <c r="D463" s="22"/>
      <c r="E463" s="22"/>
      <c r="F463" s="24" t="str">
        <f t="shared" si="1"/>
        <v/>
      </c>
      <c r="G463" s="24" t="str">
        <f t="shared" si="2"/>
        <v/>
      </c>
    </row>
    <row r="464" ht="15.75" customHeight="1">
      <c r="A464" s="22"/>
      <c r="B464" s="22"/>
      <c r="C464" s="25"/>
      <c r="D464" s="22"/>
      <c r="E464" s="22"/>
      <c r="F464" s="24" t="str">
        <f t="shared" si="1"/>
        <v/>
      </c>
      <c r="G464" s="24" t="str">
        <f t="shared" si="2"/>
        <v/>
      </c>
    </row>
    <row r="465" ht="15.75" customHeight="1">
      <c r="A465" s="22"/>
      <c r="B465" s="22"/>
      <c r="C465" s="25"/>
      <c r="D465" s="22"/>
      <c r="E465" s="22"/>
      <c r="F465" s="24" t="str">
        <f t="shared" si="1"/>
        <v/>
      </c>
      <c r="G465" s="24" t="str">
        <f t="shared" si="2"/>
        <v/>
      </c>
    </row>
    <row r="466" ht="15.75" customHeight="1">
      <c r="A466" s="22"/>
      <c r="B466" s="22"/>
      <c r="C466" s="25"/>
      <c r="D466" s="22"/>
      <c r="E466" s="22"/>
      <c r="F466" s="24" t="str">
        <f t="shared" si="1"/>
        <v/>
      </c>
      <c r="G466" s="24" t="str">
        <f t="shared" si="2"/>
        <v/>
      </c>
    </row>
    <row r="467" ht="15.75" customHeight="1">
      <c r="A467" s="22"/>
      <c r="B467" s="22"/>
      <c r="C467" s="25"/>
      <c r="D467" s="22"/>
      <c r="E467" s="22"/>
      <c r="F467" s="24" t="str">
        <f t="shared" si="1"/>
        <v/>
      </c>
      <c r="G467" s="24" t="str">
        <f t="shared" si="2"/>
        <v/>
      </c>
    </row>
    <row r="468" ht="15.75" customHeight="1">
      <c r="A468" s="22"/>
      <c r="B468" s="22"/>
      <c r="C468" s="25"/>
      <c r="D468" s="22"/>
      <c r="E468" s="22"/>
      <c r="F468" s="24" t="str">
        <f t="shared" si="1"/>
        <v/>
      </c>
      <c r="G468" s="24" t="str">
        <f t="shared" si="2"/>
        <v/>
      </c>
    </row>
    <row r="469" ht="15.75" customHeight="1">
      <c r="A469" s="22"/>
      <c r="B469" s="22"/>
      <c r="C469" s="25"/>
      <c r="D469" s="22"/>
      <c r="E469" s="22"/>
      <c r="F469" s="24" t="str">
        <f t="shared" si="1"/>
        <v/>
      </c>
      <c r="G469" s="24" t="str">
        <f t="shared" si="2"/>
        <v/>
      </c>
    </row>
    <row r="470" ht="15.75" customHeight="1">
      <c r="A470" s="22"/>
      <c r="B470" s="22"/>
      <c r="C470" s="25"/>
      <c r="D470" s="22"/>
      <c r="E470" s="22"/>
      <c r="F470" s="24" t="str">
        <f t="shared" si="1"/>
        <v/>
      </c>
      <c r="G470" s="24" t="str">
        <f t="shared" si="2"/>
        <v/>
      </c>
    </row>
    <row r="471" ht="15.75" customHeight="1">
      <c r="A471" s="22"/>
      <c r="B471" s="22"/>
      <c r="C471" s="25"/>
      <c r="D471" s="22"/>
      <c r="E471" s="22"/>
      <c r="F471" s="24" t="str">
        <f t="shared" si="1"/>
        <v/>
      </c>
      <c r="G471" s="24" t="str">
        <f t="shared" si="2"/>
        <v/>
      </c>
    </row>
    <row r="472" ht="15.75" customHeight="1">
      <c r="A472" s="22"/>
      <c r="B472" s="22"/>
      <c r="C472" s="25"/>
      <c r="D472" s="22"/>
      <c r="E472" s="22"/>
      <c r="F472" s="24" t="str">
        <f t="shared" si="1"/>
        <v/>
      </c>
      <c r="G472" s="24" t="str">
        <f t="shared" si="2"/>
        <v/>
      </c>
    </row>
    <row r="473" ht="15.75" customHeight="1">
      <c r="A473" s="22"/>
      <c r="B473" s="22"/>
      <c r="C473" s="25"/>
      <c r="D473" s="22"/>
      <c r="E473" s="22"/>
      <c r="F473" s="24" t="str">
        <f t="shared" si="1"/>
        <v/>
      </c>
      <c r="G473" s="24" t="str">
        <f t="shared" si="2"/>
        <v/>
      </c>
    </row>
    <row r="474" ht="15.75" customHeight="1">
      <c r="A474" s="22"/>
      <c r="B474" s="22"/>
      <c r="C474" s="25"/>
      <c r="D474" s="22"/>
      <c r="E474" s="22"/>
      <c r="F474" s="24" t="str">
        <f t="shared" si="1"/>
        <v/>
      </c>
      <c r="G474" s="24" t="str">
        <f t="shared" si="2"/>
        <v/>
      </c>
    </row>
    <row r="475" ht="15.75" customHeight="1">
      <c r="A475" s="22"/>
      <c r="B475" s="22"/>
      <c r="C475" s="25"/>
      <c r="D475" s="22"/>
      <c r="E475" s="22"/>
      <c r="F475" s="24" t="str">
        <f t="shared" si="1"/>
        <v/>
      </c>
      <c r="G475" s="24" t="str">
        <f t="shared" si="2"/>
        <v/>
      </c>
    </row>
    <row r="476" ht="15.75" customHeight="1">
      <c r="A476" s="22"/>
      <c r="B476" s="22"/>
      <c r="C476" s="25"/>
      <c r="D476" s="22"/>
      <c r="E476" s="22"/>
      <c r="F476" s="24" t="str">
        <f t="shared" si="1"/>
        <v/>
      </c>
      <c r="G476" s="24" t="str">
        <f t="shared" si="2"/>
        <v/>
      </c>
    </row>
    <row r="477" ht="15.75" customHeight="1">
      <c r="A477" s="22"/>
      <c r="B477" s="22"/>
      <c r="C477" s="25"/>
      <c r="D477" s="22"/>
      <c r="E477" s="22"/>
      <c r="F477" s="24" t="str">
        <f t="shared" si="1"/>
        <v/>
      </c>
      <c r="G477" s="24" t="str">
        <f t="shared" si="2"/>
        <v/>
      </c>
    </row>
    <row r="478" ht="15.75" customHeight="1">
      <c r="A478" s="22"/>
      <c r="B478" s="22"/>
      <c r="C478" s="25"/>
      <c r="D478" s="22"/>
      <c r="E478" s="22"/>
      <c r="F478" s="24" t="str">
        <f t="shared" si="1"/>
        <v/>
      </c>
      <c r="G478" s="24" t="str">
        <f t="shared" si="2"/>
        <v/>
      </c>
    </row>
    <row r="479" ht="15.75" customHeight="1">
      <c r="A479" s="22"/>
      <c r="B479" s="22"/>
      <c r="C479" s="25"/>
      <c r="D479" s="22"/>
      <c r="E479" s="22"/>
      <c r="F479" s="24" t="str">
        <f t="shared" si="1"/>
        <v/>
      </c>
      <c r="G479" s="24" t="str">
        <f t="shared" si="2"/>
        <v/>
      </c>
    </row>
    <row r="480" ht="15.75" customHeight="1">
      <c r="A480" s="22"/>
      <c r="B480" s="22"/>
      <c r="C480" s="25"/>
      <c r="D480" s="22"/>
      <c r="E480" s="22"/>
      <c r="F480" s="24" t="str">
        <f t="shared" si="1"/>
        <v/>
      </c>
      <c r="G480" s="24" t="str">
        <f t="shared" si="2"/>
        <v/>
      </c>
    </row>
    <row r="481" ht="15.75" customHeight="1">
      <c r="A481" s="22"/>
      <c r="B481" s="22"/>
      <c r="C481" s="25"/>
      <c r="D481" s="22"/>
      <c r="E481" s="22"/>
      <c r="F481" s="24" t="str">
        <f t="shared" si="1"/>
        <v/>
      </c>
      <c r="G481" s="24" t="str">
        <f t="shared" si="2"/>
        <v/>
      </c>
    </row>
    <row r="482" ht="15.75" customHeight="1">
      <c r="A482" s="22"/>
      <c r="B482" s="22"/>
      <c r="C482" s="25"/>
      <c r="D482" s="22"/>
      <c r="E482" s="22"/>
      <c r="F482" s="24" t="str">
        <f t="shared" si="1"/>
        <v/>
      </c>
      <c r="G482" s="24" t="str">
        <f t="shared" si="2"/>
        <v/>
      </c>
    </row>
    <row r="483" ht="15.75" customHeight="1">
      <c r="A483" s="22"/>
      <c r="B483" s="22"/>
      <c r="C483" s="25"/>
      <c r="D483" s="22"/>
      <c r="E483" s="22"/>
      <c r="F483" s="24" t="str">
        <f t="shared" si="1"/>
        <v/>
      </c>
      <c r="G483" s="24" t="str">
        <f t="shared" si="2"/>
        <v/>
      </c>
    </row>
    <row r="484" ht="15.75" customHeight="1">
      <c r="A484" s="22"/>
      <c r="B484" s="22"/>
      <c r="C484" s="25"/>
      <c r="D484" s="22"/>
      <c r="E484" s="22"/>
      <c r="F484" s="24" t="str">
        <f t="shared" si="1"/>
        <v/>
      </c>
      <c r="G484" s="24" t="str">
        <f t="shared" si="2"/>
        <v/>
      </c>
    </row>
    <row r="485" ht="15.75" customHeight="1">
      <c r="A485" s="22"/>
      <c r="B485" s="22"/>
      <c r="C485" s="25"/>
      <c r="D485" s="22"/>
      <c r="E485" s="22"/>
      <c r="F485" s="24" t="str">
        <f t="shared" si="1"/>
        <v/>
      </c>
      <c r="G485" s="24" t="str">
        <f t="shared" si="2"/>
        <v/>
      </c>
    </row>
    <row r="486" ht="15.75" customHeight="1">
      <c r="A486" s="22"/>
      <c r="B486" s="22"/>
      <c r="C486" s="25"/>
      <c r="D486" s="22"/>
      <c r="E486" s="22"/>
      <c r="F486" s="24" t="str">
        <f t="shared" si="1"/>
        <v/>
      </c>
      <c r="G486" s="24" t="str">
        <f t="shared" si="2"/>
        <v/>
      </c>
    </row>
    <row r="487" ht="15.75" customHeight="1">
      <c r="A487" s="22"/>
      <c r="B487" s="22"/>
      <c r="C487" s="25"/>
      <c r="D487" s="22"/>
      <c r="E487" s="22"/>
      <c r="F487" s="24" t="str">
        <f t="shared" si="1"/>
        <v/>
      </c>
      <c r="G487" s="24" t="str">
        <f t="shared" si="2"/>
        <v/>
      </c>
    </row>
    <row r="488" ht="15.75" customHeight="1">
      <c r="A488" s="22"/>
      <c r="B488" s="22"/>
      <c r="C488" s="25"/>
      <c r="D488" s="22"/>
      <c r="E488" s="22"/>
      <c r="F488" s="24" t="str">
        <f t="shared" si="1"/>
        <v/>
      </c>
      <c r="G488" s="24" t="str">
        <f t="shared" si="2"/>
        <v/>
      </c>
    </row>
    <row r="489" ht="15.75" customHeight="1">
      <c r="A489" s="22"/>
      <c r="B489" s="22"/>
      <c r="C489" s="25"/>
      <c r="D489" s="22"/>
      <c r="E489" s="22"/>
      <c r="F489" s="24" t="str">
        <f t="shared" si="1"/>
        <v/>
      </c>
      <c r="G489" s="24" t="str">
        <f t="shared" si="2"/>
        <v/>
      </c>
    </row>
    <row r="490" ht="15.75" customHeight="1">
      <c r="A490" s="22"/>
      <c r="B490" s="22"/>
      <c r="C490" s="25"/>
      <c r="D490" s="22"/>
      <c r="E490" s="22"/>
      <c r="F490" s="24" t="str">
        <f t="shared" si="1"/>
        <v/>
      </c>
      <c r="G490" s="24" t="str">
        <f t="shared" si="2"/>
        <v/>
      </c>
    </row>
    <row r="491" ht="15.75" customHeight="1">
      <c r="A491" s="22"/>
      <c r="B491" s="22"/>
      <c r="C491" s="25"/>
      <c r="D491" s="22"/>
      <c r="E491" s="22"/>
      <c r="F491" s="24" t="str">
        <f t="shared" si="1"/>
        <v/>
      </c>
      <c r="G491" s="24" t="str">
        <f t="shared" si="2"/>
        <v/>
      </c>
    </row>
    <row r="492" ht="15.75" customHeight="1">
      <c r="A492" s="22"/>
      <c r="B492" s="22"/>
      <c r="C492" s="25"/>
      <c r="D492" s="22"/>
      <c r="E492" s="22"/>
      <c r="F492" s="24" t="str">
        <f t="shared" si="1"/>
        <v/>
      </c>
      <c r="G492" s="24" t="str">
        <f t="shared" si="2"/>
        <v/>
      </c>
    </row>
    <row r="493" ht="15.75" customHeight="1">
      <c r="A493" s="22"/>
      <c r="B493" s="22"/>
      <c r="C493" s="25"/>
      <c r="D493" s="22"/>
      <c r="E493" s="22"/>
      <c r="F493" s="24" t="str">
        <f t="shared" si="1"/>
        <v/>
      </c>
      <c r="G493" s="24" t="str">
        <f t="shared" si="2"/>
        <v/>
      </c>
    </row>
    <row r="494" ht="15.75" customHeight="1">
      <c r="A494" s="22"/>
      <c r="B494" s="22"/>
      <c r="C494" s="25"/>
      <c r="D494" s="22"/>
      <c r="E494" s="22"/>
      <c r="F494" s="24" t="str">
        <f t="shared" si="1"/>
        <v/>
      </c>
      <c r="G494" s="24" t="str">
        <f t="shared" si="2"/>
        <v/>
      </c>
    </row>
    <row r="495" ht="15.75" customHeight="1">
      <c r="A495" s="22"/>
      <c r="B495" s="22"/>
      <c r="C495" s="25"/>
      <c r="D495" s="22"/>
      <c r="E495" s="22"/>
      <c r="F495" s="24" t="str">
        <f t="shared" si="1"/>
        <v/>
      </c>
      <c r="G495" s="24" t="str">
        <f t="shared" si="2"/>
        <v/>
      </c>
    </row>
    <row r="496" ht="15.75" customHeight="1">
      <c r="A496" s="22"/>
      <c r="B496" s="22"/>
      <c r="C496" s="25"/>
      <c r="D496" s="22"/>
      <c r="E496" s="22"/>
      <c r="F496" s="24" t="str">
        <f t="shared" si="1"/>
        <v/>
      </c>
      <c r="G496" s="24" t="str">
        <f t="shared" si="2"/>
        <v/>
      </c>
    </row>
    <row r="497" ht="15.75" customHeight="1">
      <c r="A497" s="22"/>
      <c r="B497" s="22"/>
      <c r="C497" s="25"/>
      <c r="D497" s="22"/>
      <c r="E497" s="22"/>
      <c r="F497" s="24" t="str">
        <f t="shared" si="1"/>
        <v/>
      </c>
      <c r="G497" s="24" t="str">
        <f t="shared" si="2"/>
        <v/>
      </c>
    </row>
    <row r="498" ht="15.75" customHeight="1">
      <c r="A498" s="22"/>
      <c r="B498" s="22"/>
      <c r="C498" s="25"/>
      <c r="D498" s="22"/>
      <c r="E498" s="22"/>
      <c r="F498" s="24" t="str">
        <f t="shared" si="1"/>
        <v/>
      </c>
      <c r="G498" s="24" t="str">
        <f t="shared" si="2"/>
        <v/>
      </c>
    </row>
    <row r="499" ht="15.75" customHeight="1">
      <c r="A499" s="22"/>
      <c r="B499" s="22"/>
      <c r="C499" s="25"/>
      <c r="D499" s="22"/>
      <c r="E499" s="22"/>
      <c r="F499" s="24" t="str">
        <f t="shared" si="1"/>
        <v/>
      </c>
      <c r="G499" s="24" t="str">
        <f t="shared" si="2"/>
        <v/>
      </c>
    </row>
    <row r="500" ht="15.75" customHeight="1">
      <c r="A500" s="22"/>
      <c r="B500" s="22"/>
      <c r="C500" s="25"/>
      <c r="D500" s="22"/>
      <c r="E500" s="22"/>
      <c r="F500" s="24" t="str">
        <f t="shared" si="1"/>
        <v/>
      </c>
      <c r="G500" s="24" t="str">
        <f t="shared" si="2"/>
        <v/>
      </c>
    </row>
    <row r="501" ht="15.75" customHeight="1">
      <c r="A501" s="22"/>
      <c r="B501" s="22"/>
      <c r="C501" s="25"/>
      <c r="D501" s="22"/>
      <c r="E501" s="22"/>
      <c r="F501" s="24" t="str">
        <f t="shared" si="1"/>
        <v/>
      </c>
      <c r="G501" s="24" t="str">
        <f t="shared" si="2"/>
        <v/>
      </c>
    </row>
    <row r="502" ht="15.75" customHeight="1">
      <c r="A502" s="22"/>
      <c r="B502" s="22"/>
      <c r="C502" s="25"/>
      <c r="D502" s="22"/>
      <c r="E502" s="22"/>
      <c r="F502" s="24" t="str">
        <f t="shared" si="1"/>
        <v/>
      </c>
      <c r="G502" s="24" t="str">
        <f t="shared" si="2"/>
        <v/>
      </c>
    </row>
    <row r="503" ht="15.75" customHeight="1">
      <c r="A503" s="22"/>
      <c r="B503" s="22"/>
      <c r="C503" s="25"/>
      <c r="D503" s="22"/>
      <c r="E503" s="22"/>
      <c r="F503" s="24" t="str">
        <f t="shared" si="1"/>
        <v/>
      </c>
      <c r="G503" s="24" t="str">
        <f t="shared" si="2"/>
        <v/>
      </c>
    </row>
    <row r="504" ht="15.75" customHeight="1">
      <c r="A504" s="22"/>
      <c r="B504" s="22"/>
      <c r="C504" s="25"/>
      <c r="D504" s="22"/>
      <c r="E504" s="22"/>
      <c r="F504" s="24" t="str">
        <f t="shared" si="1"/>
        <v/>
      </c>
      <c r="G504" s="24" t="str">
        <f t="shared" si="2"/>
        <v/>
      </c>
    </row>
    <row r="505" ht="15.75" customHeight="1">
      <c r="A505" s="22"/>
      <c r="B505" s="22"/>
      <c r="C505" s="25"/>
      <c r="D505" s="22"/>
      <c r="E505" s="22"/>
      <c r="F505" s="24" t="str">
        <f t="shared" si="1"/>
        <v/>
      </c>
      <c r="G505" s="24" t="str">
        <f t="shared" si="2"/>
        <v/>
      </c>
    </row>
    <row r="506" ht="15.75" customHeight="1">
      <c r="A506" s="22"/>
      <c r="B506" s="22"/>
      <c r="C506" s="25"/>
      <c r="D506" s="22"/>
      <c r="E506" s="22"/>
      <c r="F506" s="24" t="str">
        <f t="shared" si="1"/>
        <v/>
      </c>
      <c r="G506" s="24" t="str">
        <f t="shared" si="2"/>
        <v/>
      </c>
    </row>
    <row r="507" ht="15.75" customHeight="1">
      <c r="A507" s="22"/>
      <c r="B507" s="22"/>
      <c r="C507" s="25"/>
      <c r="D507" s="22"/>
      <c r="E507" s="22"/>
      <c r="F507" s="24" t="str">
        <f t="shared" si="1"/>
        <v/>
      </c>
      <c r="G507" s="24" t="str">
        <f t="shared" si="2"/>
        <v/>
      </c>
    </row>
    <row r="508" ht="15.75" customHeight="1">
      <c r="A508" s="22"/>
      <c r="B508" s="22"/>
      <c r="C508" s="25"/>
      <c r="D508" s="22"/>
      <c r="E508" s="22"/>
      <c r="F508" s="24" t="str">
        <f t="shared" si="1"/>
        <v/>
      </c>
      <c r="G508" s="24" t="str">
        <f t="shared" si="2"/>
        <v/>
      </c>
    </row>
    <row r="509" ht="15.75" customHeight="1">
      <c r="A509" s="22"/>
      <c r="B509" s="22"/>
      <c r="C509" s="25"/>
      <c r="D509" s="22"/>
      <c r="E509" s="22"/>
      <c r="F509" s="24" t="str">
        <f t="shared" si="1"/>
        <v/>
      </c>
      <c r="G509" s="24" t="str">
        <f t="shared" si="2"/>
        <v/>
      </c>
    </row>
    <row r="510" ht="15.75" customHeight="1">
      <c r="A510" s="22"/>
      <c r="B510" s="22"/>
      <c r="C510" s="25"/>
      <c r="D510" s="22"/>
      <c r="E510" s="22"/>
      <c r="F510" s="24" t="str">
        <f t="shared" si="1"/>
        <v/>
      </c>
      <c r="G510" s="24" t="str">
        <f t="shared" si="2"/>
        <v/>
      </c>
    </row>
    <row r="511" ht="15.75" customHeight="1">
      <c r="A511" s="22"/>
      <c r="B511" s="22"/>
      <c r="C511" s="25"/>
      <c r="D511" s="22"/>
      <c r="E511" s="22"/>
      <c r="F511" s="24" t="str">
        <f t="shared" si="1"/>
        <v/>
      </c>
      <c r="G511" s="24" t="str">
        <f t="shared" si="2"/>
        <v/>
      </c>
    </row>
    <row r="512" ht="15.75" customHeight="1">
      <c r="A512" s="22"/>
      <c r="B512" s="22"/>
      <c r="C512" s="25"/>
      <c r="D512" s="22"/>
      <c r="E512" s="22"/>
      <c r="F512" s="24" t="str">
        <f t="shared" si="1"/>
        <v/>
      </c>
      <c r="G512" s="24" t="str">
        <f t="shared" si="2"/>
        <v/>
      </c>
    </row>
    <row r="513" ht="15.75" customHeight="1">
      <c r="A513" s="22"/>
      <c r="B513" s="22"/>
      <c r="C513" s="25"/>
      <c r="D513" s="22"/>
      <c r="E513" s="22"/>
      <c r="F513" s="24" t="str">
        <f t="shared" si="1"/>
        <v/>
      </c>
      <c r="G513" s="24" t="str">
        <f t="shared" si="2"/>
        <v/>
      </c>
    </row>
    <row r="514" ht="15.75" customHeight="1">
      <c r="A514" s="22"/>
      <c r="B514" s="22"/>
      <c r="C514" s="25"/>
      <c r="D514" s="22"/>
      <c r="E514" s="22"/>
      <c r="F514" s="24" t="str">
        <f t="shared" si="1"/>
        <v/>
      </c>
      <c r="G514" s="24" t="str">
        <f t="shared" si="2"/>
        <v/>
      </c>
    </row>
    <row r="515" ht="15.75" customHeight="1">
      <c r="A515" s="22"/>
      <c r="B515" s="22"/>
      <c r="C515" s="25"/>
      <c r="D515" s="22"/>
      <c r="E515" s="22"/>
      <c r="F515" s="24" t="str">
        <f t="shared" si="1"/>
        <v/>
      </c>
      <c r="G515" s="24" t="str">
        <f t="shared" si="2"/>
        <v/>
      </c>
    </row>
    <row r="516" ht="15.75" customHeight="1">
      <c r="A516" s="22"/>
      <c r="B516" s="22"/>
      <c r="C516" s="25"/>
      <c r="D516" s="22"/>
      <c r="E516" s="22"/>
      <c r="F516" s="24" t="str">
        <f t="shared" si="1"/>
        <v/>
      </c>
      <c r="G516" s="24" t="str">
        <f t="shared" si="2"/>
        <v/>
      </c>
    </row>
    <row r="517" ht="15.75" customHeight="1">
      <c r="A517" s="22"/>
      <c r="B517" s="22"/>
      <c r="C517" s="25"/>
      <c r="D517" s="22"/>
      <c r="E517" s="22"/>
      <c r="F517" s="24" t="str">
        <f t="shared" si="1"/>
        <v/>
      </c>
      <c r="G517" s="24" t="str">
        <f t="shared" si="2"/>
        <v/>
      </c>
    </row>
    <row r="518" ht="15.75" customHeight="1">
      <c r="A518" s="22"/>
      <c r="B518" s="22"/>
      <c r="C518" s="25"/>
      <c r="D518" s="22"/>
      <c r="E518" s="22"/>
      <c r="F518" s="24" t="str">
        <f t="shared" si="1"/>
        <v/>
      </c>
      <c r="G518" s="24" t="str">
        <f t="shared" si="2"/>
        <v/>
      </c>
    </row>
    <row r="519" ht="15.75" customHeight="1">
      <c r="A519" s="22"/>
      <c r="B519" s="22"/>
      <c r="C519" s="25"/>
      <c r="D519" s="22"/>
      <c r="E519" s="22"/>
      <c r="F519" s="24" t="str">
        <f t="shared" si="1"/>
        <v/>
      </c>
      <c r="G519" s="24" t="str">
        <f t="shared" si="2"/>
        <v/>
      </c>
    </row>
    <row r="520" ht="15.75" customHeight="1">
      <c r="A520" s="22"/>
      <c r="B520" s="22"/>
      <c r="C520" s="25"/>
      <c r="D520" s="22"/>
      <c r="E520" s="22"/>
      <c r="F520" s="24" t="str">
        <f t="shared" si="1"/>
        <v/>
      </c>
      <c r="G520" s="24" t="str">
        <f t="shared" si="2"/>
        <v/>
      </c>
    </row>
    <row r="521" ht="15.75" customHeight="1">
      <c r="A521" s="22"/>
      <c r="B521" s="22"/>
      <c r="C521" s="25"/>
      <c r="D521" s="22"/>
      <c r="E521" s="22"/>
      <c r="F521" s="24" t="str">
        <f t="shared" si="1"/>
        <v/>
      </c>
      <c r="G521" s="24" t="str">
        <f t="shared" si="2"/>
        <v/>
      </c>
    </row>
    <row r="522" ht="15.75" customHeight="1">
      <c r="A522" s="22"/>
      <c r="B522" s="22"/>
      <c r="C522" s="25"/>
      <c r="D522" s="22"/>
      <c r="E522" s="22"/>
      <c r="F522" s="24" t="str">
        <f t="shared" si="1"/>
        <v/>
      </c>
      <c r="G522" s="24" t="str">
        <f t="shared" si="2"/>
        <v/>
      </c>
    </row>
    <row r="523" ht="15.75" customHeight="1">
      <c r="A523" s="22"/>
      <c r="B523" s="22"/>
      <c r="C523" s="25"/>
      <c r="D523" s="22"/>
      <c r="E523" s="22"/>
      <c r="F523" s="24" t="str">
        <f t="shared" si="1"/>
        <v/>
      </c>
      <c r="G523" s="24" t="str">
        <f t="shared" si="2"/>
        <v/>
      </c>
    </row>
    <row r="524" ht="15.75" customHeight="1">
      <c r="A524" s="22"/>
      <c r="B524" s="22"/>
      <c r="C524" s="25"/>
      <c r="D524" s="22"/>
      <c r="E524" s="22"/>
      <c r="F524" s="24" t="str">
        <f t="shared" si="1"/>
        <v/>
      </c>
      <c r="G524" s="24" t="str">
        <f t="shared" si="2"/>
        <v/>
      </c>
    </row>
    <row r="525" ht="15.75" customHeight="1">
      <c r="A525" s="22"/>
      <c r="B525" s="22"/>
      <c r="C525" s="25"/>
      <c r="D525" s="22"/>
      <c r="E525" s="22"/>
      <c r="F525" s="24" t="str">
        <f t="shared" si="1"/>
        <v/>
      </c>
      <c r="G525" s="24" t="str">
        <f t="shared" si="2"/>
        <v/>
      </c>
    </row>
    <row r="526" ht="15.75" customHeight="1">
      <c r="A526" s="22"/>
      <c r="B526" s="22"/>
      <c r="C526" s="25"/>
      <c r="D526" s="22"/>
      <c r="E526" s="22"/>
      <c r="F526" s="24" t="str">
        <f t="shared" si="1"/>
        <v/>
      </c>
      <c r="G526" s="24" t="str">
        <f t="shared" si="2"/>
        <v/>
      </c>
    </row>
    <row r="527" ht="15.75" customHeight="1">
      <c r="A527" s="22"/>
      <c r="B527" s="22"/>
      <c r="C527" s="25"/>
      <c r="D527" s="22"/>
      <c r="E527" s="22"/>
      <c r="F527" s="24" t="str">
        <f t="shared" si="1"/>
        <v/>
      </c>
      <c r="G527" s="24" t="str">
        <f t="shared" si="2"/>
        <v/>
      </c>
    </row>
    <row r="528" ht="15.75" customHeight="1">
      <c r="A528" s="22"/>
      <c r="B528" s="22"/>
      <c r="C528" s="25"/>
      <c r="D528" s="22"/>
      <c r="E528" s="22"/>
      <c r="F528" s="24" t="str">
        <f t="shared" si="1"/>
        <v/>
      </c>
      <c r="G528" s="24" t="str">
        <f t="shared" si="2"/>
        <v/>
      </c>
    </row>
    <row r="529" ht="15.75" customHeight="1">
      <c r="A529" s="22"/>
      <c r="B529" s="22"/>
      <c r="C529" s="25"/>
      <c r="D529" s="22"/>
      <c r="E529" s="22"/>
      <c r="F529" s="24" t="str">
        <f t="shared" si="1"/>
        <v/>
      </c>
      <c r="G529" s="24" t="str">
        <f t="shared" si="2"/>
        <v/>
      </c>
    </row>
    <row r="530" ht="15.75" customHeight="1">
      <c r="A530" s="22"/>
      <c r="B530" s="22"/>
      <c r="C530" s="25"/>
      <c r="D530" s="22"/>
      <c r="E530" s="22"/>
      <c r="F530" s="24" t="str">
        <f t="shared" si="1"/>
        <v/>
      </c>
      <c r="G530" s="24" t="str">
        <f t="shared" si="2"/>
        <v/>
      </c>
    </row>
    <row r="531" ht="15.75" customHeight="1">
      <c r="A531" s="22"/>
      <c r="B531" s="22"/>
      <c r="C531" s="25"/>
      <c r="D531" s="22"/>
      <c r="E531" s="22"/>
      <c r="F531" s="24" t="str">
        <f t="shared" si="1"/>
        <v/>
      </c>
      <c r="G531" s="24" t="str">
        <f t="shared" si="2"/>
        <v/>
      </c>
    </row>
    <row r="532" ht="15.75" customHeight="1">
      <c r="A532" s="22"/>
      <c r="B532" s="22"/>
      <c r="C532" s="25"/>
      <c r="D532" s="22"/>
      <c r="E532" s="22"/>
      <c r="F532" s="24" t="str">
        <f t="shared" si="1"/>
        <v/>
      </c>
      <c r="G532" s="24" t="str">
        <f t="shared" si="2"/>
        <v/>
      </c>
    </row>
    <row r="533" ht="15.75" customHeight="1">
      <c r="A533" s="22"/>
      <c r="B533" s="22"/>
      <c r="C533" s="25"/>
      <c r="D533" s="22"/>
      <c r="E533" s="22"/>
      <c r="F533" s="24" t="str">
        <f t="shared" si="1"/>
        <v/>
      </c>
      <c r="G533" s="24" t="str">
        <f t="shared" si="2"/>
        <v/>
      </c>
    </row>
    <row r="534" ht="15.75" customHeight="1">
      <c r="A534" s="22"/>
      <c r="B534" s="22"/>
      <c r="C534" s="25"/>
      <c r="D534" s="22"/>
      <c r="E534" s="22"/>
      <c r="F534" s="24" t="str">
        <f t="shared" si="1"/>
        <v/>
      </c>
      <c r="G534" s="24" t="str">
        <f t="shared" si="2"/>
        <v/>
      </c>
    </row>
    <row r="535" ht="15.75" customHeight="1">
      <c r="A535" s="22"/>
      <c r="B535" s="22"/>
      <c r="C535" s="25"/>
      <c r="D535" s="22"/>
      <c r="E535" s="22"/>
      <c r="F535" s="24" t="str">
        <f t="shared" si="1"/>
        <v/>
      </c>
      <c r="G535" s="24" t="str">
        <f t="shared" si="2"/>
        <v/>
      </c>
    </row>
    <row r="536" ht="15.75" customHeight="1">
      <c r="A536" s="22"/>
      <c r="B536" s="22"/>
      <c r="C536" s="25"/>
      <c r="D536" s="22"/>
      <c r="E536" s="22"/>
      <c r="F536" s="24" t="str">
        <f t="shared" si="1"/>
        <v/>
      </c>
      <c r="G536" s="24" t="str">
        <f t="shared" si="2"/>
        <v/>
      </c>
    </row>
    <row r="537" ht="15.75" customHeight="1">
      <c r="A537" s="22"/>
      <c r="B537" s="22"/>
      <c r="C537" s="25"/>
      <c r="D537" s="22"/>
      <c r="E537" s="22"/>
      <c r="F537" s="24" t="str">
        <f t="shared" si="1"/>
        <v/>
      </c>
      <c r="G537" s="24" t="str">
        <f t="shared" si="2"/>
        <v/>
      </c>
    </row>
    <row r="538" ht="15.75" customHeight="1">
      <c r="A538" s="22"/>
      <c r="B538" s="22"/>
      <c r="C538" s="25"/>
      <c r="D538" s="22"/>
      <c r="E538" s="22"/>
      <c r="F538" s="24" t="str">
        <f t="shared" si="1"/>
        <v/>
      </c>
      <c r="G538" s="24" t="str">
        <f t="shared" si="2"/>
        <v/>
      </c>
    </row>
    <row r="539" ht="15.75" customHeight="1">
      <c r="A539" s="22"/>
      <c r="B539" s="22"/>
      <c r="C539" s="25"/>
      <c r="D539" s="22"/>
      <c r="E539" s="22"/>
      <c r="F539" s="24" t="str">
        <f t="shared" si="1"/>
        <v/>
      </c>
      <c r="G539" s="24" t="str">
        <f t="shared" si="2"/>
        <v/>
      </c>
    </row>
    <row r="540" ht="15.75" customHeight="1">
      <c r="A540" s="22"/>
      <c r="B540" s="22"/>
      <c r="C540" s="25"/>
      <c r="D540" s="22"/>
      <c r="E540" s="22"/>
      <c r="F540" s="24" t="str">
        <f t="shared" si="1"/>
        <v/>
      </c>
      <c r="G540" s="24" t="str">
        <f t="shared" si="2"/>
        <v/>
      </c>
    </row>
    <row r="541" ht="15.75" customHeight="1">
      <c r="A541" s="22"/>
      <c r="B541" s="22"/>
      <c r="C541" s="25"/>
      <c r="D541" s="22"/>
      <c r="E541" s="22"/>
      <c r="F541" s="24" t="str">
        <f t="shared" si="1"/>
        <v/>
      </c>
      <c r="G541" s="24" t="str">
        <f t="shared" si="2"/>
        <v/>
      </c>
    </row>
    <row r="542" ht="15.75" customHeight="1">
      <c r="A542" s="22"/>
      <c r="B542" s="22"/>
      <c r="C542" s="25"/>
      <c r="D542" s="22"/>
      <c r="E542" s="22"/>
      <c r="F542" s="24" t="str">
        <f t="shared" si="1"/>
        <v/>
      </c>
      <c r="G542" s="24" t="str">
        <f t="shared" si="2"/>
        <v/>
      </c>
    </row>
    <row r="543" ht="15.75" customHeight="1">
      <c r="A543" s="22"/>
      <c r="B543" s="22"/>
      <c r="C543" s="25"/>
      <c r="D543" s="22"/>
      <c r="E543" s="22"/>
      <c r="F543" s="24" t="str">
        <f t="shared" si="1"/>
        <v/>
      </c>
      <c r="G543" s="24" t="str">
        <f t="shared" si="2"/>
        <v/>
      </c>
    </row>
    <row r="544" ht="15.75" customHeight="1">
      <c r="A544" s="22"/>
      <c r="B544" s="22"/>
      <c r="C544" s="25"/>
      <c r="D544" s="22"/>
      <c r="E544" s="22"/>
      <c r="F544" s="24" t="str">
        <f t="shared" si="1"/>
        <v/>
      </c>
      <c r="G544" s="24" t="str">
        <f t="shared" si="2"/>
        <v/>
      </c>
    </row>
    <row r="545" ht="15.75" customHeight="1">
      <c r="A545" s="22"/>
      <c r="B545" s="22"/>
      <c r="C545" s="25"/>
      <c r="D545" s="22"/>
      <c r="E545" s="22"/>
      <c r="F545" s="24" t="str">
        <f t="shared" si="1"/>
        <v/>
      </c>
      <c r="G545" s="24" t="str">
        <f t="shared" si="2"/>
        <v/>
      </c>
    </row>
    <row r="546" ht="15.75" customHeight="1">
      <c r="A546" s="22"/>
      <c r="B546" s="22"/>
      <c r="C546" s="25"/>
      <c r="D546" s="22"/>
      <c r="E546" s="22"/>
      <c r="F546" s="24" t="str">
        <f t="shared" si="1"/>
        <v/>
      </c>
      <c r="G546" s="24" t="str">
        <f t="shared" si="2"/>
        <v/>
      </c>
    </row>
    <row r="547" ht="15.75" customHeight="1">
      <c r="A547" s="22"/>
      <c r="B547" s="22"/>
      <c r="C547" s="25"/>
      <c r="D547" s="22"/>
      <c r="E547" s="22"/>
      <c r="F547" s="24" t="str">
        <f t="shared" si="1"/>
        <v/>
      </c>
      <c r="G547" s="24" t="str">
        <f t="shared" si="2"/>
        <v/>
      </c>
    </row>
    <row r="548" ht="15.75" customHeight="1">
      <c r="A548" s="22"/>
      <c r="B548" s="22"/>
      <c r="C548" s="25"/>
      <c r="D548" s="22"/>
      <c r="E548" s="22"/>
      <c r="F548" s="24" t="str">
        <f t="shared" si="1"/>
        <v/>
      </c>
      <c r="G548" s="24" t="str">
        <f t="shared" si="2"/>
        <v/>
      </c>
    </row>
    <row r="549" ht="15.75" customHeight="1">
      <c r="A549" s="22"/>
      <c r="B549" s="22"/>
      <c r="C549" s="25"/>
      <c r="D549" s="22"/>
      <c r="E549" s="22"/>
      <c r="F549" s="24" t="str">
        <f t="shared" si="1"/>
        <v/>
      </c>
      <c r="G549" s="24" t="str">
        <f t="shared" si="2"/>
        <v/>
      </c>
    </row>
    <row r="550" ht="15.75" customHeight="1">
      <c r="A550" s="22"/>
      <c r="B550" s="22"/>
      <c r="C550" s="25"/>
      <c r="D550" s="22"/>
      <c r="E550" s="22"/>
      <c r="F550" s="24" t="str">
        <f t="shared" si="1"/>
        <v/>
      </c>
      <c r="G550" s="24" t="str">
        <f t="shared" si="2"/>
        <v/>
      </c>
    </row>
    <row r="551" ht="15.75" customHeight="1">
      <c r="A551" s="22"/>
      <c r="B551" s="22"/>
      <c r="C551" s="25"/>
      <c r="D551" s="22"/>
      <c r="E551" s="22"/>
      <c r="F551" s="24" t="str">
        <f t="shared" si="1"/>
        <v/>
      </c>
      <c r="G551" s="24" t="str">
        <f t="shared" si="2"/>
        <v/>
      </c>
    </row>
    <row r="552" ht="15.75" customHeight="1">
      <c r="A552" s="22"/>
      <c r="B552" s="22"/>
      <c r="C552" s="25"/>
      <c r="D552" s="22"/>
      <c r="E552" s="22"/>
      <c r="F552" s="24" t="str">
        <f t="shared" si="1"/>
        <v/>
      </c>
      <c r="G552" s="24" t="str">
        <f t="shared" si="2"/>
        <v/>
      </c>
    </row>
    <row r="553" ht="15.75" customHeight="1">
      <c r="A553" s="22"/>
      <c r="B553" s="22"/>
      <c r="C553" s="25"/>
      <c r="D553" s="22"/>
      <c r="E553" s="22"/>
      <c r="F553" s="24" t="str">
        <f t="shared" si="1"/>
        <v/>
      </c>
      <c r="G553" s="24" t="str">
        <f t="shared" si="2"/>
        <v/>
      </c>
    </row>
    <row r="554" ht="15.75" customHeight="1">
      <c r="A554" s="22"/>
      <c r="B554" s="22"/>
      <c r="C554" s="25"/>
      <c r="D554" s="22"/>
      <c r="E554" s="22"/>
      <c r="F554" s="24" t="str">
        <f t="shared" si="1"/>
        <v/>
      </c>
      <c r="G554" s="24" t="str">
        <f t="shared" si="2"/>
        <v/>
      </c>
    </row>
    <row r="555" ht="15.75" customHeight="1">
      <c r="A555" s="22"/>
      <c r="B555" s="22"/>
      <c r="C555" s="25"/>
      <c r="D555" s="22"/>
      <c r="E555" s="22"/>
      <c r="F555" s="24" t="str">
        <f t="shared" si="1"/>
        <v/>
      </c>
      <c r="G555" s="24" t="str">
        <f t="shared" si="2"/>
        <v/>
      </c>
    </row>
    <row r="556" ht="15.75" customHeight="1">
      <c r="A556" s="22"/>
      <c r="B556" s="22"/>
      <c r="C556" s="25"/>
      <c r="D556" s="22"/>
      <c r="E556" s="22"/>
      <c r="F556" s="24" t="str">
        <f t="shared" si="1"/>
        <v/>
      </c>
      <c r="G556" s="24" t="str">
        <f t="shared" si="2"/>
        <v/>
      </c>
    </row>
    <row r="557" ht="15.75" customHeight="1">
      <c r="A557" s="22"/>
      <c r="B557" s="22"/>
      <c r="C557" s="25"/>
      <c r="D557" s="22"/>
      <c r="E557" s="22"/>
      <c r="F557" s="24" t="str">
        <f t="shared" si="1"/>
        <v/>
      </c>
      <c r="G557" s="24" t="str">
        <f t="shared" si="2"/>
        <v/>
      </c>
    </row>
    <row r="558" ht="15.75" customHeight="1">
      <c r="A558" s="22"/>
      <c r="B558" s="22"/>
      <c r="C558" s="25"/>
      <c r="D558" s="22"/>
      <c r="E558" s="22"/>
      <c r="F558" s="24" t="str">
        <f t="shared" si="1"/>
        <v/>
      </c>
      <c r="G558" s="24" t="str">
        <f t="shared" si="2"/>
        <v/>
      </c>
    </row>
    <row r="559" ht="15.75" customHeight="1">
      <c r="A559" s="22"/>
      <c r="B559" s="22"/>
      <c r="C559" s="25"/>
      <c r="D559" s="22"/>
      <c r="E559" s="22"/>
      <c r="F559" s="24" t="str">
        <f t="shared" si="1"/>
        <v/>
      </c>
      <c r="G559" s="24" t="str">
        <f t="shared" si="2"/>
        <v/>
      </c>
    </row>
    <row r="560" ht="15.75" customHeight="1">
      <c r="A560" s="22"/>
      <c r="B560" s="22"/>
      <c r="C560" s="25"/>
      <c r="D560" s="22"/>
      <c r="E560" s="22"/>
      <c r="F560" s="24" t="str">
        <f t="shared" si="1"/>
        <v/>
      </c>
      <c r="G560" s="24" t="str">
        <f t="shared" si="2"/>
        <v/>
      </c>
    </row>
    <row r="561" ht="15.75" customHeight="1">
      <c r="A561" s="22"/>
      <c r="B561" s="22"/>
      <c r="C561" s="25"/>
      <c r="D561" s="22"/>
      <c r="E561" s="22"/>
      <c r="F561" s="24" t="str">
        <f t="shared" si="1"/>
        <v/>
      </c>
      <c r="G561" s="24" t="str">
        <f t="shared" si="2"/>
        <v/>
      </c>
    </row>
    <row r="562" ht="15.75" customHeight="1">
      <c r="A562" s="22"/>
      <c r="B562" s="22"/>
      <c r="C562" s="25"/>
      <c r="D562" s="22"/>
      <c r="E562" s="22"/>
      <c r="F562" s="24" t="str">
        <f t="shared" si="1"/>
        <v/>
      </c>
      <c r="G562" s="24" t="str">
        <f t="shared" si="2"/>
        <v/>
      </c>
    </row>
    <row r="563" ht="15.75" customHeight="1">
      <c r="A563" s="22"/>
      <c r="B563" s="22"/>
      <c r="C563" s="25"/>
      <c r="D563" s="22"/>
      <c r="E563" s="22"/>
      <c r="F563" s="24" t="str">
        <f t="shared" si="1"/>
        <v/>
      </c>
      <c r="G563" s="24" t="str">
        <f t="shared" si="2"/>
        <v/>
      </c>
    </row>
    <row r="564" ht="15.75" customHeight="1">
      <c r="A564" s="22"/>
      <c r="B564" s="22"/>
      <c r="C564" s="25"/>
      <c r="D564" s="22"/>
      <c r="E564" s="22"/>
      <c r="F564" s="24" t="str">
        <f t="shared" si="1"/>
        <v/>
      </c>
      <c r="G564" s="24" t="str">
        <f t="shared" si="2"/>
        <v/>
      </c>
    </row>
    <row r="565" ht="15.75" customHeight="1">
      <c r="A565" s="22"/>
      <c r="B565" s="22"/>
      <c r="C565" s="25"/>
      <c r="D565" s="22"/>
      <c r="E565" s="22"/>
      <c r="F565" s="24" t="str">
        <f t="shared" si="1"/>
        <v/>
      </c>
      <c r="G565" s="24" t="str">
        <f t="shared" si="2"/>
        <v/>
      </c>
    </row>
    <row r="566" ht="15.75" customHeight="1">
      <c r="A566" s="22"/>
      <c r="B566" s="22"/>
      <c r="C566" s="25"/>
      <c r="D566" s="22"/>
      <c r="E566" s="22"/>
      <c r="F566" s="24" t="str">
        <f t="shared" si="1"/>
        <v/>
      </c>
      <c r="G566" s="24" t="str">
        <f t="shared" si="2"/>
        <v/>
      </c>
    </row>
    <row r="567" ht="15.75" customHeight="1">
      <c r="A567" s="22"/>
      <c r="B567" s="22"/>
      <c r="C567" s="25"/>
      <c r="D567" s="22"/>
      <c r="E567" s="22"/>
      <c r="F567" s="24" t="str">
        <f t="shared" si="1"/>
        <v/>
      </c>
      <c r="G567" s="24" t="str">
        <f t="shared" si="2"/>
        <v/>
      </c>
    </row>
    <row r="568" ht="15.75" customHeight="1">
      <c r="A568" s="22"/>
      <c r="B568" s="22"/>
      <c r="C568" s="25"/>
      <c r="D568" s="22"/>
      <c r="E568" s="22"/>
      <c r="F568" s="24" t="str">
        <f t="shared" si="1"/>
        <v/>
      </c>
      <c r="G568" s="24" t="str">
        <f t="shared" si="2"/>
        <v/>
      </c>
    </row>
    <row r="569" ht="15.75" customHeight="1">
      <c r="A569" s="22"/>
      <c r="B569" s="22"/>
      <c r="C569" s="25"/>
      <c r="D569" s="22"/>
      <c r="E569" s="22"/>
      <c r="F569" s="24" t="str">
        <f t="shared" si="1"/>
        <v/>
      </c>
      <c r="G569" s="24" t="str">
        <f t="shared" si="2"/>
        <v/>
      </c>
    </row>
    <row r="570" ht="15.75" customHeight="1">
      <c r="A570" s="22"/>
      <c r="B570" s="22"/>
      <c r="C570" s="25"/>
      <c r="D570" s="22"/>
      <c r="E570" s="22"/>
      <c r="F570" s="24" t="str">
        <f t="shared" si="1"/>
        <v/>
      </c>
      <c r="G570" s="24" t="str">
        <f t="shared" si="2"/>
        <v/>
      </c>
    </row>
    <row r="571" ht="15.75" customHeight="1">
      <c r="A571" s="22"/>
      <c r="B571" s="22"/>
      <c r="C571" s="25"/>
      <c r="D571" s="22"/>
      <c r="E571" s="22"/>
      <c r="F571" s="24" t="str">
        <f t="shared" si="1"/>
        <v/>
      </c>
      <c r="G571" s="24" t="str">
        <f t="shared" si="2"/>
        <v/>
      </c>
    </row>
    <row r="572" ht="15.75" customHeight="1">
      <c r="A572" s="22"/>
      <c r="B572" s="22"/>
      <c r="C572" s="25"/>
      <c r="D572" s="22"/>
      <c r="E572" s="22"/>
      <c r="F572" s="24" t="str">
        <f t="shared" si="1"/>
        <v/>
      </c>
      <c r="G572" s="24" t="str">
        <f t="shared" si="2"/>
        <v/>
      </c>
    </row>
    <row r="573" ht="15.75" customHeight="1">
      <c r="A573" s="22"/>
      <c r="B573" s="22"/>
      <c r="C573" s="25"/>
      <c r="D573" s="22"/>
      <c r="E573" s="22"/>
      <c r="F573" s="24" t="str">
        <f t="shared" si="1"/>
        <v/>
      </c>
      <c r="G573" s="24" t="str">
        <f t="shared" si="2"/>
        <v/>
      </c>
    </row>
    <row r="574" ht="15.75" customHeight="1">
      <c r="A574" s="22"/>
      <c r="B574" s="22"/>
      <c r="C574" s="25"/>
      <c r="D574" s="22"/>
      <c r="E574" s="22"/>
      <c r="F574" s="24" t="str">
        <f t="shared" si="1"/>
        <v/>
      </c>
      <c r="G574" s="24" t="str">
        <f t="shared" si="2"/>
        <v/>
      </c>
    </row>
    <row r="575" ht="15.75" customHeight="1">
      <c r="A575" s="22"/>
      <c r="B575" s="22"/>
      <c r="C575" s="25"/>
      <c r="D575" s="22"/>
      <c r="E575" s="22"/>
      <c r="F575" s="24" t="str">
        <f t="shared" si="1"/>
        <v/>
      </c>
      <c r="G575" s="24" t="str">
        <f t="shared" si="2"/>
        <v/>
      </c>
    </row>
    <row r="576" ht="15.75" customHeight="1">
      <c r="A576" s="22"/>
      <c r="B576" s="22"/>
      <c r="C576" s="25"/>
      <c r="D576" s="22"/>
      <c r="E576" s="22"/>
      <c r="F576" s="24" t="str">
        <f t="shared" si="1"/>
        <v/>
      </c>
      <c r="G576" s="24" t="str">
        <f t="shared" si="2"/>
        <v/>
      </c>
    </row>
    <row r="577" ht="15.75" customHeight="1">
      <c r="A577" s="22"/>
      <c r="B577" s="22"/>
      <c r="C577" s="25"/>
      <c r="D577" s="22"/>
      <c r="E577" s="22"/>
      <c r="F577" s="24" t="str">
        <f t="shared" si="1"/>
        <v/>
      </c>
      <c r="G577" s="24" t="str">
        <f t="shared" si="2"/>
        <v/>
      </c>
    </row>
    <row r="578" ht="15.75" customHeight="1">
      <c r="A578" s="22"/>
      <c r="B578" s="22"/>
      <c r="C578" s="25"/>
      <c r="D578" s="22"/>
      <c r="E578" s="22"/>
      <c r="F578" s="24" t="str">
        <f t="shared" si="1"/>
        <v/>
      </c>
      <c r="G578" s="24" t="str">
        <f t="shared" si="2"/>
        <v/>
      </c>
    </row>
    <row r="579" ht="15.75" customHeight="1">
      <c r="A579" s="22"/>
      <c r="B579" s="22"/>
      <c r="C579" s="25"/>
      <c r="D579" s="22"/>
      <c r="E579" s="22"/>
      <c r="F579" s="24" t="str">
        <f t="shared" si="1"/>
        <v/>
      </c>
      <c r="G579" s="24" t="str">
        <f t="shared" si="2"/>
        <v/>
      </c>
    </row>
    <row r="580" ht="15.75" customHeight="1">
      <c r="A580" s="22"/>
      <c r="B580" s="22"/>
      <c r="C580" s="25"/>
      <c r="D580" s="22"/>
      <c r="E580" s="22"/>
      <c r="F580" s="24" t="str">
        <f t="shared" si="1"/>
        <v/>
      </c>
      <c r="G580" s="24" t="str">
        <f t="shared" si="2"/>
        <v/>
      </c>
    </row>
    <row r="581" ht="15.75" customHeight="1">
      <c r="A581" s="22"/>
      <c r="B581" s="22"/>
      <c r="C581" s="25"/>
      <c r="D581" s="22"/>
      <c r="E581" s="22"/>
      <c r="F581" s="24" t="str">
        <f t="shared" si="1"/>
        <v/>
      </c>
      <c r="G581" s="24" t="str">
        <f t="shared" si="2"/>
        <v/>
      </c>
    </row>
    <row r="582" ht="15.75" customHeight="1">
      <c r="A582" s="22"/>
      <c r="B582" s="22"/>
      <c r="C582" s="25"/>
      <c r="D582" s="22"/>
      <c r="E582" s="22"/>
      <c r="F582" s="24" t="str">
        <f t="shared" si="1"/>
        <v/>
      </c>
      <c r="G582" s="24" t="str">
        <f t="shared" si="2"/>
        <v/>
      </c>
    </row>
    <row r="583" ht="15.75" customHeight="1">
      <c r="A583" s="22"/>
      <c r="B583" s="22"/>
      <c r="C583" s="25"/>
      <c r="D583" s="22"/>
      <c r="E583" s="22"/>
      <c r="F583" s="24" t="str">
        <f t="shared" si="1"/>
        <v/>
      </c>
      <c r="G583" s="24" t="str">
        <f t="shared" si="2"/>
        <v/>
      </c>
    </row>
    <row r="584" ht="15.75" customHeight="1">
      <c r="A584" s="22"/>
      <c r="B584" s="22"/>
      <c r="C584" s="25"/>
      <c r="D584" s="22"/>
      <c r="E584" s="22"/>
      <c r="F584" s="24" t="str">
        <f t="shared" si="1"/>
        <v/>
      </c>
      <c r="G584" s="24" t="str">
        <f t="shared" si="2"/>
        <v/>
      </c>
    </row>
    <row r="585" ht="15.75" customHeight="1">
      <c r="A585" s="22"/>
      <c r="B585" s="22"/>
      <c r="C585" s="25"/>
      <c r="D585" s="22"/>
      <c r="E585" s="22"/>
      <c r="F585" s="24" t="str">
        <f t="shared" si="1"/>
        <v/>
      </c>
      <c r="G585" s="24" t="str">
        <f t="shared" si="2"/>
        <v/>
      </c>
    </row>
    <row r="586" ht="15.75" customHeight="1">
      <c r="A586" s="22"/>
      <c r="B586" s="22"/>
      <c r="C586" s="25"/>
      <c r="D586" s="22"/>
      <c r="E586" s="22"/>
      <c r="F586" s="24" t="str">
        <f t="shared" si="1"/>
        <v/>
      </c>
      <c r="G586" s="24" t="str">
        <f t="shared" si="2"/>
        <v/>
      </c>
    </row>
    <row r="587" ht="15.75" customHeight="1">
      <c r="A587" s="22"/>
      <c r="B587" s="22"/>
      <c r="C587" s="25"/>
      <c r="D587" s="22"/>
      <c r="E587" s="22"/>
      <c r="F587" s="24" t="str">
        <f t="shared" si="1"/>
        <v/>
      </c>
      <c r="G587" s="24" t="str">
        <f t="shared" si="2"/>
        <v/>
      </c>
    </row>
    <row r="588" ht="15.75" customHeight="1">
      <c r="A588" s="22"/>
      <c r="B588" s="22"/>
      <c r="C588" s="25"/>
      <c r="D588" s="22"/>
      <c r="E588" s="22"/>
      <c r="F588" s="24" t="str">
        <f t="shared" si="1"/>
        <v/>
      </c>
      <c r="G588" s="24" t="str">
        <f t="shared" si="2"/>
        <v/>
      </c>
    </row>
    <row r="589" ht="15.75" customHeight="1">
      <c r="A589" s="22"/>
      <c r="B589" s="22"/>
      <c r="C589" s="25"/>
      <c r="D589" s="22"/>
      <c r="E589" s="22"/>
      <c r="F589" s="24" t="str">
        <f t="shared" si="1"/>
        <v/>
      </c>
      <c r="G589" s="24" t="str">
        <f t="shared" si="2"/>
        <v/>
      </c>
    </row>
    <row r="590" ht="15.75" customHeight="1">
      <c r="A590" s="22"/>
      <c r="B590" s="22"/>
      <c r="C590" s="25"/>
      <c r="D590" s="22"/>
      <c r="E590" s="22"/>
      <c r="F590" s="24" t="str">
        <f t="shared" si="1"/>
        <v/>
      </c>
      <c r="G590" s="24" t="str">
        <f t="shared" si="2"/>
        <v/>
      </c>
    </row>
    <row r="591" ht="15.75" customHeight="1">
      <c r="A591" s="22"/>
      <c r="B591" s="22"/>
      <c r="C591" s="25"/>
      <c r="D591" s="22"/>
      <c r="E591" s="22"/>
      <c r="F591" s="24" t="str">
        <f t="shared" si="1"/>
        <v/>
      </c>
      <c r="G591" s="24" t="str">
        <f t="shared" si="2"/>
        <v/>
      </c>
    </row>
    <row r="592" ht="15.75" customHeight="1">
      <c r="A592" s="22"/>
      <c r="B592" s="22"/>
      <c r="C592" s="25"/>
      <c r="D592" s="22"/>
      <c r="E592" s="22"/>
      <c r="F592" s="24" t="str">
        <f t="shared" si="1"/>
        <v/>
      </c>
      <c r="G592" s="24" t="str">
        <f t="shared" si="2"/>
        <v/>
      </c>
    </row>
    <row r="593" ht="15.75" customHeight="1">
      <c r="A593" s="22"/>
      <c r="B593" s="22"/>
      <c r="C593" s="25"/>
      <c r="D593" s="22"/>
      <c r="E593" s="22"/>
      <c r="F593" s="24" t="str">
        <f t="shared" si="1"/>
        <v/>
      </c>
      <c r="G593" s="24" t="str">
        <f t="shared" si="2"/>
        <v/>
      </c>
    </row>
    <row r="594" ht="15.75" customHeight="1">
      <c r="A594" s="22"/>
      <c r="B594" s="22"/>
      <c r="C594" s="25"/>
      <c r="D594" s="22"/>
      <c r="E594" s="22"/>
      <c r="F594" s="24" t="str">
        <f t="shared" si="1"/>
        <v/>
      </c>
      <c r="G594" s="24" t="str">
        <f t="shared" si="2"/>
        <v/>
      </c>
    </row>
    <row r="595" ht="15.75" customHeight="1">
      <c r="A595" s="22"/>
      <c r="B595" s="22"/>
      <c r="C595" s="25"/>
      <c r="D595" s="22"/>
      <c r="E595" s="22"/>
      <c r="F595" s="24" t="str">
        <f t="shared" si="1"/>
        <v/>
      </c>
      <c r="G595" s="24" t="str">
        <f t="shared" si="2"/>
        <v/>
      </c>
    </row>
    <row r="596" ht="15.75" customHeight="1">
      <c r="A596" s="22"/>
      <c r="B596" s="22"/>
      <c r="C596" s="25"/>
      <c r="D596" s="22"/>
      <c r="E596" s="22"/>
      <c r="F596" s="24" t="str">
        <f t="shared" si="1"/>
        <v/>
      </c>
      <c r="G596" s="24" t="str">
        <f t="shared" si="2"/>
        <v/>
      </c>
    </row>
    <row r="597" ht="15.75" customHeight="1">
      <c r="A597" s="22"/>
      <c r="B597" s="22"/>
      <c r="C597" s="25"/>
      <c r="D597" s="22"/>
      <c r="E597" s="22"/>
      <c r="F597" s="24" t="str">
        <f t="shared" si="1"/>
        <v/>
      </c>
      <c r="G597" s="24" t="str">
        <f t="shared" si="2"/>
        <v/>
      </c>
    </row>
    <row r="598" ht="15.75" customHeight="1">
      <c r="A598" s="22"/>
      <c r="B598" s="22"/>
      <c r="C598" s="25"/>
      <c r="D598" s="22"/>
      <c r="E598" s="22"/>
      <c r="F598" s="24" t="str">
        <f t="shared" si="1"/>
        <v/>
      </c>
      <c r="G598" s="24" t="str">
        <f t="shared" si="2"/>
        <v/>
      </c>
    </row>
    <row r="599" ht="15.75" customHeight="1">
      <c r="A599" s="22"/>
      <c r="B599" s="22"/>
      <c r="C599" s="25"/>
      <c r="D599" s="22"/>
      <c r="E599" s="22"/>
      <c r="F599" s="24" t="str">
        <f t="shared" si="1"/>
        <v/>
      </c>
      <c r="G599" s="24" t="str">
        <f t="shared" si="2"/>
        <v/>
      </c>
    </row>
    <row r="600" ht="15.75" customHeight="1">
      <c r="A600" s="22"/>
      <c r="B600" s="22"/>
      <c r="C600" s="25"/>
      <c r="D600" s="22"/>
      <c r="E600" s="22"/>
      <c r="F600" s="24" t="str">
        <f t="shared" si="1"/>
        <v/>
      </c>
      <c r="G600" s="24" t="str">
        <f t="shared" si="2"/>
        <v/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94">
      <formula1>"Егор,Данил"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2.0"/>
    <col customWidth="1" min="4" max="4" width="9.0"/>
    <col customWidth="1" min="5" max="6" width="12.0"/>
    <col customWidth="1" min="7" max="7" width="9.0"/>
    <col customWidth="1" min="8" max="26" width="8.71"/>
  </cols>
  <sheetData>
    <row r="1" ht="31.5" customHeight="1">
      <c r="A1" s="26" t="s">
        <v>127</v>
      </c>
    </row>
    <row r="2">
      <c r="B2" s="27" t="s">
        <v>128</v>
      </c>
      <c r="C2" s="5"/>
      <c r="D2" s="6"/>
      <c r="E2" s="28" t="s">
        <v>129</v>
      </c>
      <c r="F2" s="5"/>
      <c r="G2" s="6"/>
    </row>
    <row r="3">
      <c r="A3" s="8" t="s">
        <v>24</v>
      </c>
      <c r="B3" s="8" t="s">
        <v>130</v>
      </c>
      <c r="C3" s="8" t="s">
        <v>131</v>
      </c>
      <c r="D3" s="8" t="s">
        <v>132</v>
      </c>
      <c r="E3" s="8" t="s">
        <v>130</v>
      </c>
      <c r="F3" s="8" t="s">
        <v>131</v>
      </c>
      <c r="G3" s="8" t="s">
        <v>132</v>
      </c>
    </row>
    <row r="4">
      <c r="A4" s="23" t="s">
        <v>31</v>
      </c>
      <c r="B4" s="29" t="str">
        <f t="array" ref="B4">IF(COUNTIFS('Журнал'!$C$2:$C$600,$A4,'Журнал'!$B$2:$B$600,"Данил")=0,"",MAX(IF(('Журнал'!$C$2:$C$600=$A4)*('Журнал'!$B$2:$B$600="Данил")*('Журнал'!$A$2:$A$600=MIN(IF(('Журнал'!$C$2:$C$600=$A4)*('Журнал'!$B$2:$B$600="Данил"),'Журнал'!$A$2:$A$600,""))),'Журнал'!$G$2:$G$600,"")))</f>
        <v/>
      </c>
      <c r="C4" s="29" t="str">
        <f t="array" ref="C4">IF(COUNTIFS('Журнал'!$C$2:$C$600,$A4,'Журнал'!$B$2:$B$600,"Данил")=0,"",MAX(IF(('Журнал'!$C$2:$C$600=$A4)*('Журнал'!$B$2:$B$600="Данил")*('Журнал'!$A$2:$A$600=MAX(IF(('Журнал'!$C$2:$C$600=$A4)*('Журнал'!$B$2:$B$600="Данил"),'Журнал'!$A$2:$A$600,""))),'Журнал'!$G$2:$G$600,"")))</f>
        <v/>
      </c>
      <c r="D4" s="30" t="str">
        <f t="shared" ref="D4:D15" si="1">IF(OR(B4="",B4=0),"",C4/B4-1)</f>
        <v/>
      </c>
      <c r="E4" s="29" t="str">
        <f t="array" ref="E4">IF(COUNTIFS('Журнал'!$C$2:$C$600,$A4,'Журнал'!$B$2:$B$600,"Егор")=0,"",MAX(IF(('Журнал'!$C$2:$C$600=$A4)*('Журнал'!$B$2:$B$600="Егор")*('Журнал'!$A$2:$A$600=MIN(IF(('Журнал'!$C$2:$C$600=$A4)*('Журнал'!$B$2:$B$600="Егор"),'Журнал'!$A$2:$A$600,""))),'Журнал'!$G$2:$G$600,"")))</f>
        <v/>
      </c>
      <c r="F4" s="29" t="str">
        <f t="array" ref="F4">IF(COUNTIFS('Журнал'!$C$2:$C$600,$A4,'Журнал'!$B$2:$B$600,"Егор")=0,"",MAX(IF(('Журнал'!$C$2:$C$600=$A4)*('Журнал'!$B$2:$B$600="Егор")*('Журнал'!$A$2:$A$600=MAX(IF(('Журнал'!$C$2:$C$600=$A4)*('Журнал'!$B$2:$B$600="Егор"),'Журнал'!$A$2:$A$600,""))),'Журнал'!$G$2:$G$600,"")))</f>
        <v/>
      </c>
      <c r="G4" s="30" t="str">
        <f t="shared" ref="G4:G15" si="2">IF(OR(E4="",E4=0),"",F4/E4-1)</f>
        <v/>
      </c>
    </row>
    <row r="5">
      <c r="A5" s="31" t="s">
        <v>122</v>
      </c>
      <c r="B5" s="32">
        <f t="array" ref="B5">IF(COUNTIFS('Журнал'!$C$2:$C$600,$A5,'Журнал'!$B$2:$B$600,"Данил")=0,"",MAX(IF(('Журнал'!$C$2:$C$600=$A5)*('Журнал'!$B$2:$B$600="Данил")*('Журнал'!$A$2:$A$600=MIN(IF(('Журнал'!$C$2:$C$600=$A5)*('Журнал'!$B$2:$B$600="Данил"),'Журнал'!$A$2:$A$600,""))),'Журнал'!$G$2:$G$600,"")))</f>
        <v>66.7</v>
      </c>
      <c r="C5" s="32">
        <f t="array" ref="C5">IF(COUNTIFS('Журнал'!$C$2:$C$600,$A5,'Журнал'!$B$2:$B$600,"Данил")=0,"",MAX(IF(('Журнал'!$C$2:$C$600=$A5)*('Журнал'!$B$2:$B$600="Данил")*('Журнал'!$A$2:$A$600=MAX(IF(('Журнал'!$C$2:$C$600=$A5)*('Журнал'!$B$2:$B$600="Данил"),'Журнал'!$A$2:$A$600,""))),'Журнал'!$G$2:$G$600,"")))</f>
        <v>66.7</v>
      </c>
      <c r="D5" s="33">
        <f t="shared" si="1"/>
        <v>0</v>
      </c>
      <c r="E5" s="32">
        <f t="array" ref="E5">IF(COUNTIFS('Журнал'!$C$2:$C$600,$A5,'Журнал'!$B$2:$B$600,"Егор")=0,"",MAX(IF(('Журнал'!$C$2:$C$600=$A5)*('Журнал'!$B$2:$B$600="Егор")*('Журнал'!$A$2:$A$600=MIN(IF(('Журнал'!$C$2:$C$600=$A5)*('Журнал'!$B$2:$B$600="Егор"),'Журнал'!$A$2:$A$600,""))),'Журнал'!$G$2:$G$600,"")))</f>
        <v>144</v>
      </c>
      <c r="F5" s="32">
        <f t="array" ref="F5">IF(COUNTIFS('Журнал'!$C$2:$C$600,$A5,'Журнал'!$B$2:$B$600,"Егор")=0,"",MAX(IF(('Журнал'!$C$2:$C$600=$A5)*('Журнал'!$B$2:$B$600="Егор")*('Журнал'!$A$2:$A$600=MAX(IF(('Журнал'!$C$2:$C$600=$A5)*('Журнал'!$B$2:$B$600="Егор"),'Журнал'!$A$2:$A$600,""))),'Журнал'!$G$2:$G$600,"")))</f>
        <v>144</v>
      </c>
      <c r="G5" s="33">
        <f t="shared" si="2"/>
        <v>0</v>
      </c>
    </row>
    <row r="6">
      <c r="A6" s="23" t="s">
        <v>36</v>
      </c>
      <c r="B6" s="29">
        <f t="array" ref="B6">IF(COUNTIFS('Журнал'!$C$2:$C$600,$A6,'Журнал'!$B$2:$B$600,"Данил")=0,"",MAX(IF(('Журнал'!$C$2:$C$600=$A6)*('Журнал'!$B$2:$B$600="Данил")*('Журнал'!$A$2:$A$600=MIN(IF(('Журнал'!$C$2:$C$600=$A6)*('Журнал'!$B$2:$B$600="Данил"),'Журнал'!$A$2:$A$600,""))),'Журнал'!$G$2:$G$600,"")))</f>
        <v>56</v>
      </c>
      <c r="C6" s="29">
        <f t="array" ref="C6">IF(COUNTIFS('Журнал'!$C$2:$C$600,$A6,'Журнал'!$B$2:$B$600,"Данил")=0,"",MAX(IF(('Журнал'!$C$2:$C$600=$A6)*('Журнал'!$B$2:$B$600="Данил")*('Журнал'!$A$2:$A$600=MAX(IF(('Журнал'!$C$2:$C$600=$A6)*('Журнал'!$B$2:$B$600="Данил"),'Журнал'!$A$2:$A$600,""))),'Журнал'!$G$2:$G$600,"")))</f>
        <v>56</v>
      </c>
      <c r="D6" s="30">
        <f t="shared" si="1"/>
        <v>0</v>
      </c>
      <c r="E6" s="29">
        <f t="array" ref="E6">IF(COUNTIFS('Журнал'!$C$2:$C$600,$A6,'Журнал'!$B$2:$B$600,"Егор")=0,"",MAX(IF(('Журнал'!$C$2:$C$600=$A6)*('Журнал'!$B$2:$B$600="Егор")*('Журнал'!$A$2:$A$600=MIN(IF(('Журнал'!$C$2:$C$600=$A6)*('Журнал'!$B$2:$B$600="Егор"),'Журнал'!$A$2:$A$600,""))),'Журнал'!$G$2:$G$600,"")))</f>
        <v>93.3</v>
      </c>
      <c r="F6" s="29">
        <f t="array" ref="F6">IF(COUNTIFS('Журнал'!$C$2:$C$600,$A6,'Журнал'!$B$2:$B$600,"Егор")=0,"",MAX(IF(('Журнал'!$C$2:$C$600=$A6)*('Журнал'!$B$2:$B$600="Егор")*('Журнал'!$A$2:$A$600=MAX(IF(('Журнал'!$C$2:$C$600=$A6)*('Журнал'!$B$2:$B$600="Егор"),'Журнал'!$A$2:$A$600,""))),'Журнал'!$G$2:$G$600,"")))</f>
        <v>93.3</v>
      </c>
      <c r="G6" s="30">
        <f t="shared" si="2"/>
        <v>0</v>
      </c>
    </row>
    <row r="7">
      <c r="A7" s="31" t="s">
        <v>133</v>
      </c>
      <c r="B7" s="32" t="str">
        <f t="array" ref="B7">IF(COUNTIFS('Журнал'!$C$2:$C$600,$A7,'Журнал'!$B$2:$B$600,"Данил")=0,"",MAX(IF(('Журнал'!$C$2:$C$600=$A7)*('Журнал'!$B$2:$B$600="Данил")*('Журнал'!$A$2:$A$600=MIN(IF(('Журнал'!$C$2:$C$600=$A7)*('Журнал'!$B$2:$B$600="Данил"),'Журнал'!$A$2:$A$600,""))),'Журнал'!$G$2:$G$600,"")))</f>
        <v/>
      </c>
      <c r="C7" s="32" t="str">
        <f t="array" ref="C7">IF(COUNTIFS('Журнал'!$C$2:$C$600,$A7,'Журнал'!$B$2:$B$600,"Данил")=0,"",MAX(IF(('Журнал'!$C$2:$C$600=$A7)*('Журнал'!$B$2:$B$600="Данил")*('Журнал'!$A$2:$A$600=MAX(IF(('Журнал'!$C$2:$C$600=$A7)*('Журнал'!$B$2:$B$600="Данил"),'Журнал'!$A$2:$A$600,""))),'Журнал'!$G$2:$G$600,"")))</f>
        <v/>
      </c>
      <c r="D7" s="33" t="str">
        <f t="shared" si="1"/>
        <v/>
      </c>
      <c r="E7" s="32" t="str">
        <f t="array" ref="E7">IF(COUNTIFS('Журнал'!$C$2:$C$600,$A7,'Журнал'!$B$2:$B$600,"Егор")=0,"",MAX(IF(('Журнал'!$C$2:$C$600=$A7)*('Журнал'!$B$2:$B$600="Егор")*('Журнал'!$A$2:$A$600=MIN(IF(('Журнал'!$C$2:$C$600=$A7)*('Журнал'!$B$2:$B$600="Егор"),'Журнал'!$A$2:$A$600,""))),'Журнал'!$G$2:$G$600,"")))</f>
        <v/>
      </c>
      <c r="F7" s="32" t="str">
        <f t="array" ref="F7">IF(COUNTIFS('Журнал'!$C$2:$C$600,$A7,'Журнал'!$B$2:$B$600,"Егор")=0,"",MAX(IF(('Журнал'!$C$2:$C$600=$A7)*('Журнал'!$B$2:$B$600="Егор")*('Журнал'!$A$2:$A$600=MAX(IF(('Журнал'!$C$2:$C$600=$A7)*('Журнал'!$B$2:$B$600="Егор"),'Журнал'!$A$2:$A$600,""))),'Журнал'!$G$2:$G$600,"")))</f>
        <v/>
      </c>
      <c r="G7" s="33" t="str">
        <f t="shared" si="2"/>
        <v/>
      </c>
    </row>
    <row r="8">
      <c r="A8" s="23" t="s">
        <v>124</v>
      </c>
      <c r="B8" s="29">
        <f t="array" ref="B8">IF(COUNTIFS('Журнал'!$C$2:$C$600,$A8,'Журнал'!$B$2:$B$600,"Данил")=0,"",MAX(IF(('Журнал'!$C$2:$C$600=$A8)*('Журнал'!$B$2:$B$600="Данил")*('Журнал'!$A$2:$A$600=MIN(IF(('Журнал'!$C$2:$C$600=$A8)*('Журнал'!$B$2:$B$600="Данил"),'Журнал'!$A$2:$A$600,""))),'Журнал'!$G$2:$G$600,"")))</f>
        <v>53.3</v>
      </c>
      <c r="C8" s="29">
        <f t="array" ref="C8">IF(COUNTIFS('Журнал'!$C$2:$C$600,$A8,'Журнал'!$B$2:$B$600,"Данил")=0,"",MAX(IF(('Журнал'!$C$2:$C$600=$A8)*('Журнал'!$B$2:$B$600="Данил")*('Журнал'!$A$2:$A$600=MAX(IF(('Журнал'!$C$2:$C$600=$A8)*('Журнал'!$B$2:$B$600="Данил"),'Журнал'!$A$2:$A$600,""))),'Журнал'!$G$2:$G$600,"")))</f>
        <v>53.3</v>
      </c>
      <c r="D8" s="30">
        <f t="shared" si="1"/>
        <v>0</v>
      </c>
      <c r="E8" s="29">
        <f t="array" ref="E8">IF(COUNTIFS('Журнал'!$C$2:$C$600,$A8,'Журнал'!$B$2:$B$600,"Егор")=0,"",MAX(IF(('Журнал'!$C$2:$C$600=$A8)*('Журнал'!$B$2:$B$600="Егор")*('Журнал'!$A$2:$A$600=MIN(IF(('Журнал'!$C$2:$C$600=$A8)*('Журнал'!$B$2:$B$600="Егор"),'Журнал'!$A$2:$A$600,""))),'Журнал'!$G$2:$G$600,"")))</f>
        <v>80</v>
      </c>
      <c r="F8" s="29">
        <f t="array" ref="F8">IF(COUNTIFS('Журнал'!$C$2:$C$600,$A8,'Журнал'!$B$2:$B$600,"Егор")=0,"",MAX(IF(('Журнал'!$C$2:$C$600=$A8)*('Журнал'!$B$2:$B$600="Егор")*('Журнал'!$A$2:$A$600=MAX(IF(('Журнал'!$C$2:$C$600=$A8)*('Журнал'!$B$2:$B$600="Егор"),'Журнал'!$A$2:$A$600,""))),'Журнал'!$G$2:$G$600,"")))</f>
        <v>80</v>
      </c>
      <c r="G8" s="30">
        <f t="shared" si="2"/>
        <v>0</v>
      </c>
    </row>
    <row r="9">
      <c r="A9" s="31" t="s">
        <v>40</v>
      </c>
      <c r="B9" s="32">
        <f t="array" ref="B9">IF(COUNTIFS('Журнал'!$C$2:$C$600,$A9,'Журнал'!$B$2:$B$600,"Данил")=0,"",MAX(IF(('Журнал'!$C$2:$C$600=$A9)*('Журнал'!$B$2:$B$600="Данил")*('Журнал'!$A$2:$A$600=MIN(IF(('Журнал'!$C$2:$C$600=$A9)*('Журнал'!$B$2:$B$600="Данил"),'Журнал'!$A$2:$A$600,""))),'Журнал'!$G$2:$G$600,"")))</f>
        <v>25.2</v>
      </c>
      <c r="C9" s="32">
        <f t="array" ref="C9">IF(COUNTIFS('Журнал'!$C$2:$C$600,$A9,'Журнал'!$B$2:$B$600,"Данил")=0,"",MAX(IF(('Журнал'!$C$2:$C$600=$A9)*('Журнал'!$B$2:$B$600="Данил")*('Журнал'!$A$2:$A$600=MAX(IF(('Журнал'!$C$2:$C$600=$A9)*('Журнал'!$B$2:$B$600="Данил"),'Журнал'!$A$2:$A$600,""))),'Журнал'!$G$2:$G$600,"")))</f>
        <v>25.2</v>
      </c>
      <c r="D9" s="33">
        <f t="shared" si="1"/>
        <v>0</v>
      </c>
      <c r="E9" s="32">
        <f t="array" ref="E9">IF(COUNTIFS('Журнал'!$C$2:$C$600,$A9,'Журнал'!$B$2:$B$600,"Егор")=0,"",MAX(IF(('Журнал'!$C$2:$C$600=$A9)*('Журнал'!$B$2:$B$600="Егор")*('Журнал'!$A$2:$A$600=MIN(IF(('Журнал'!$C$2:$C$600=$A9)*('Журнал'!$B$2:$B$600="Егор"),'Журнал'!$A$2:$A$600,""))),'Журнал'!$G$2:$G$600,"")))</f>
        <v>33.6</v>
      </c>
      <c r="F9" s="32">
        <f t="array" ref="F9">IF(COUNTIFS('Журнал'!$C$2:$C$600,$A9,'Журнал'!$B$2:$B$600,"Егор")=0,"",MAX(IF(('Журнал'!$C$2:$C$600=$A9)*('Журнал'!$B$2:$B$600="Егор")*('Журнал'!$A$2:$A$600=MAX(IF(('Журнал'!$C$2:$C$600=$A9)*('Журнал'!$B$2:$B$600="Егор"),'Журнал'!$A$2:$A$600,""))),'Журнал'!$G$2:$G$600,"")))</f>
        <v>33.6</v>
      </c>
      <c r="G9" s="33">
        <f t="shared" si="2"/>
        <v>0</v>
      </c>
    </row>
    <row r="10">
      <c r="A10" s="23" t="s">
        <v>118</v>
      </c>
      <c r="B10" s="29">
        <f t="array" ref="B10">IF(COUNTIFS('Журнал'!$C$2:$C$600,$A10,'Журнал'!$B$2:$B$600,"Данил")=0,"",MAX(IF(('Журнал'!$C$2:$C$600=$A10)*('Журнал'!$B$2:$B$600="Данил")*('Журнал'!$A$2:$A$600=MIN(IF(('Журнал'!$C$2:$C$600=$A10)*('Журнал'!$B$2:$B$600="Данил"),'Журнал'!$A$2:$A$600,""))),'Журнал'!$G$2:$G$600,"")))</f>
        <v>112</v>
      </c>
      <c r="C10" s="29">
        <f t="array" ref="C10">IF(COUNTIFS('Журнал'!$C$2:$C$600,$A10,'Журнал'!$B$2:$B$600,"Данил")=0,"",MAX(IF(('Журнал'!$C$2:$C$600=$A10)*('Журнал'!$B$2:$B$600="Данил")*('Журнал'!$A$2:$A$600=MAX(IF(('Журнал'!$C$2:$C$600=$A10)*('Журнал'!$B$2:$B$600="Данил"),'Журнал'!$A$2:$A$600,""))),'Журнал'!$G$2:$G$600,"")))</f>
        <v>112</v>
      </c>
      <c r="D10" s="30">
        <f t="shared" si="1"/>
        <v>0</v>
      </c>
      <c r="E10" s="29">
        <f t="array" ref="E10">IF(COUNTIFS('Журнал'!$C$2:$C$600,$A10,'Журнал'!$B$2:$B$600,"Егор")=0,"",MAX(IF(('Журнал'!$C$2:$C$600=$A10)*('Журнал'!$B$2:$B$600="Егор")*('Журнал'!$A$2:$A$600=MIN(IF(('Журнал'!$C$2:$C$600=$A10)*('Журнал'!$B$2:$B$600="Егор"),'Журнал'!$A$2:$A$600,""))),'Журнал'!$G$2:$G$600,"")))</f>
        <v>120</v>
      </c>
      <c r="F10" s="29">
        <f t="array" ref="F10">IF(COUNTIFS('Журнал'!$C$2:$C$600,$A10,'Журнал'!$B$2:$B$600,"Егор")=0,"",MAX(IF(('Журнал'!$C$2:$C$600=$A10)*('Журнал'!$B$2:$B$600="Егор")*('Журнал'!$A$2:$A$600=MAX(IF(('Журнал'!$C$2:$C$600=$A10)*('Журнал'!$B$2:$B$600="Егор"),'Журнал'!$A$2:$A$600,""))),'Журнал'!$G$2:$G$600,"")))</f>
        <v>120</v>
      </c>
      <c r="G10" s="30">
        <f t="shared" si="2"/>
        <v>0</v>
      </c>
    </row>
    <row r="11">
      <c r="A11" s="31" t="s">
        <v>54</v>
      </c>
      <c r="B11" s="32">
        <f t="array" ref="B11">IF(COUNTIFS('Журнал'!$C$2:$C$600,$A11,'Журнал'!$B$2:$B$600,"Данил")=0,"",MAX(IF(('Журнал'!$C$2:$C$600=$A11)*('Журнал'!$B$2:$B$600="Данил")*('Журнал'!$A$2:$A$600=MIN(IF(('Журнал'!$C$2:$C$600=$A11)*('Журнал'!$B$2:$B$600="Данил"),'Журнал'!$A$2:$A$600,""))),'Журнал'!$G$2:$G$600,"")))</f>
        <v>35</v>
      </c>
      <c r="C11" s="32">
        <f t="array" ref="C11">IF(COUNTIFS('Журнал'!$C$2:$C$600,$A11,'Журнал'!$B$2:$B$600,"Данил")=0,"",MAX(IF(('Журнал'!$C$2:$C$600=$A11)*('Журнал'!$B$2:$B$600="Данил")*('Журнал'!$A$2:$A$600=MAX(IF(('Журнал'!$C$2:$C$600=$A11)*('Журнал'!$B$2:$B$600="Данил"),'Журнал'!$A$2:$A$600,""))),'Журнал'!$G$2:$G$600,"")))</f>
        <v>35</v>
      </c>
      <c r="D11" s="33">
        <f t="shared" si="1"/>
        <v>0</v>
      </c>
      <c r="E11" s="32">
        <f t="array" ref="E11">IF(COUNTIFS('Журнал'!$C$2:$C$600,$A11,'Журнал'!$B$2:$B$600,"Егор")=0,"",MAX(IF(('Журнал'!$C$2:$C$600=$A11)*('Журнал'!$B$2:$B$600="Егор")*('Журнал'!$A$2:$A$600=MIN(IF(('Журнал'!$C$2:$C$600=$A11)*('Журнал'!$B$2:$B$600="Егор"),'Журнал'!$A$2:$A$600,""))),'Журнал'!$G$2:$G$600,"")))</f>
        <v>56</v>
      </c>
      <c r="F11" s="32">
        <f t="array" ref="F11">IF(COUNTIFS('Журнал'!$C$2:$C$600,$A11,'Журнал'!$B$2:$B$600,"Егор")=0,"",MAX(IF(('Журнал'!$C$2:$C$600=$A11)*('Журнал'!$B$2:$B$600="Егор")*('Журнал'!$A$2:$A$600=MAX(IF(('Журнал'!$C$2:$C$600=$A11)*('Журнал'!$B$2:$B$600="Егор"),'Журнал'!$A$2:$A$600,""))),'Журнал'!$G$2:$G$600,"")))</f>
        <v>56</v>
      </c>
      <c r="G11" s="33">
        <f t="shared" si="2"/>
        <v>0</v>
      </c>
    </row>
    <row r="12">
      <c r="A12" s="23" t="s">
        <v>120</v>
      </c>
      <c r="B12" s="29">
        <f t="array" ref="B12">IF(COUNTIFS('Журнал'!$C$2:$C$600,$A12,'Журнал'!$B$2:$B$600,"Данил")=0,"",MAX(IF(('Журнал'!$C$2:$C$600=$A12)*('Журнал'!$B$2:$B$600="Данил")*('Журнал'!$A$2:$A$600=MIN(IF(('Журнал'!$C$2:$C$600=$A12)*('Журнал'!$B$2:$B$600="Данил"),'Журнал'!$A$2:$A$600,""))),'Журнал'!$G$2:$G$600,"")))</f>
        <v>26.7</v>
      </c>
      <c r="C12" s="29">
        <f t="array" ref="C12">IF(COUNTIFS('Журнал'!$C$2:$C$600,$A12,'Журнал'!$B$2:$B$600,"Данил")=0,"",MAX(IF(('Журнал'!$C$2:$C$600=$A12)*('Журнал'!$B$2:$B$600="Данил")*('Журнал'!$A$2:$A$600=MAX(IF(('Журнал'!$C$2:$C$600=$A12)*('Журнал'!$B$2:$B$600="Данил"),'Журнал'!$A$2:$A$600,""))),'Журнал'!$G$2:$G$600,"")))</f>
        <v>26.7</v>
      </c>
      <c r="D12" s="30">
        <f t="shared" si="1"/>
        <v>0</v>
      </c>
      <c r="E12" s="29">
        <f t="array" ref="E12">IF(COUNTIFS('Журнал'!$C$2:$C$600,$A12,'Журнал'!$B$2:$B$600,"Егор")=0,"",MAX(IF(('Журнал'!$C$2:$C$600=$A12)*('Журнал'!$B$2:$B$600="Егор")*('Журнал'!$A$2:$A$600=MIN(IF(('Журнал'!$C$2:$C$600=$A12)*('Журнал'!$B$2:$B$600="Егор"),'Журнал'!$A$2:$A$600,""))),'Журнал'!$G$2:$G$600,"")))</f>
        <v>35</v>
      </c>
      <c r="F12" s="29">
        <f t="array" ref="F12">IF(COUNTIFS('Журнал'!$C$2:$C$600,$A12,'Журнал'!$B$2:$B$600,"Егор")=0,"",MAX(IF(('Журнал'!$C$2:$C$600=$A12)*('Журнал'!$B$2:$B$600="Егор")*('Журнал'!$A$2:$A$600=MAX(IF(('Журнал'!$C$2:$C$600=$A12)*('Журнал'!$B$2:$B$600="Егор"),'Журнал'!$A$2:$A$600,""))),'Журнал'!$G$2:$G$600,"")))</f>
        <v>35</v>
      </c>
      <c r="G12" s="30">
        <f t="shared" si="2"/>
        <v>0</v>
      </c>
    </row>
    <row r="13">
      <c r="A13" s="31" t="s">
        <v>123</v>
      </c>
      <c r="B13" s="32">
        <f t="array" ref="B13">IF(COUNTIFS('Журнал'!$C$2:$C$600,$A13,'Журнал'!$B$2:$B$600,"Данил")=0,"",MAX(IF(('Журнал'!$C$2:$C$600=$A13)*('Журнал'!$B$2:$B$600="Данил")*('Журнал'!$A$2:$A$600=MIN(IF(('Журнал'!$C$2:$C$600=$A13)*('Журнал'!$B$2:$B$600="Данил"),'Журнал'!$A$2:$A$600,""))),'Журнал'!$G$2:$G$600,"")))</f>
        <v>22.4</v>
      </c>
      <c r="C13" s="32">
        <f t="array" ref="C13">IF(COUNTIFS('Журнал'!$C$2:$C$600,$A13,'Журнал'!$B$2:$B$600,"Данил")=0,"",MAX(IF(('Журнал'!$C$2:$C$600=$A13)*('Журнал'!$B$2:$B$600="Данил")*('Журнал'!$A$2:$A$600=MAX(IF(('Журнал'!$C$2:$C$600=$A13)*('Журнал'!$B$2:$B$600="Данил"),'Журнал'!$A$2:$A$600,""))),'Журнал'!$G$2:$G$600,"")))</f>
        <v>22.4</v>
      </c>
      <c r="D13" s="33">
        <f t="shared" si="1"/>
        <v>0</v>
      </c>
      <c r="E13" s="32">
        <f t="array" ref="E13">IF(COUNTIFS('Журнал'!$C$2:$C$600,$A13,'Журнал'!$B$2:$B$600,"Егор")=0,"",MAX(IF(('Журнал'!$C$2:$C$600=$A13)*('Журнал'!$B$2:$B$600="Егор")*('Журнал'!$A$2:$A$600=MIN(IF(('Журнал'!$C$2:$C$600=$A13)*('Журнал'!$B$2:$B$600="Егор"),'Журнал'!$A$2:$A$600,""))),'Журнал'!$G$2:$G$600,"")))</f>
        <v>33.6</v>
      </c>
      <c r="F13" s="32">
        <f t="array" ref="F13">IF(COUNTIFS('Журнал'!$C$2:$C$600,$A13,'Журнал'!$B$2:$B$600,"Егор")=0,"",MAX(IF(('Журнал'!$C$2:$C$600=$A13)*('Журнал'!$B$2:$B$600="Егор")*('Журнал'!$A$2:$A$600=MAX(IF(('Журнал'!$C$2:$C$600=$A13)*('Журнал'!$B$2:$B$600="Егор"),'Журнал'!$A$2:$A$600,""))),'Журнал'!$G$2:$G$600,"")))</f>
        <v>33.6</v>
      </c>
      <c r="G13" s="33">
        <f t="shared" si="2"/>
        <v>0</v>
      </c>
    </row>
    <row r="14">
      <c r="A14" s="23" t="s">
        <v>125</v>
      </c>
      <c r="B14" s="29">
        <f t="array" ref="B14">IF(COUNTIFS('Журнал'!$C$2:$C$600,$A14,'Журнал'!$B$2:$B$600,"Данил")=0,"",MAX(IF(('Журнал'!$C$2:$C$600=$A14)*('Журнал'!$B$2:$B$600="Данил")*('Журнал'!$A$2:$A$600=MIN(IF(('Журнал'!$C$2:$C$600=$A14)*('Журнал'!$B$2:$B$600="Данил"),'Журнал'!$A$2:$A$600,""))),'Журнал'!$G$2:$G$600,"")))</f>
        <v>70</v>
      </c>
      <c r="C14" s="29">
        <f t="array" ref="C14">IF(COUNTIFS('Журнал'!$C$2:$C$600,$A14,'Журнал'!$B$2:$B$600,"Данил")=0,"",MAX(IF(('Журнал'!$C$2:$C$600=$A14)*('Журнал'!$B$2:$B$600="Данил")*('Журнал'!$A$2:$A$600=MAX(IF(('Журнал'!$C$2:$C$600=$A14)*('Журнал'!$B$2:$B$600="Данил"),'Журнал'!$A$2:$A$600,""))),'Журнал'!$G$2:$G$600,"")))</f>
        <v>70</v>
      </c>
      <c r="D14" s="30">
        <f t="shared" si="1"/>
        <v>0</v>
      </c>
      <c r="E14" s="29">
        <f t="array" ref="E14">IF(COUNTIFS('Журнал'!$C$2:$C$600,$A14,'Журнал'!$B$2:$B$600,"Егор")=0,"",MAX(IF(('Журнал'!$C$2:$C$600=$A14)*('Журнал'!$B$2:$B$600="Егор")*('Журнал'!$A$2:$A$600=MIN(IF(('Журнал'!$C$2:$C$600=$A14)*('Журнал'!$B$2:$B$600="Егор"),'Журнал'!$A$2:$A$600,""))),'Журнал'!$G$2:$G$600,"")))</f>
        <v>70</v>
      </c>
      <c r="F14" s="29">
        <f t="array" ref="F14">IF(COUNTIFS('Журнал'!$C$2:$C$600,$A14,'Журнал'!$B$2:$B$600,"Егор")=0,"",MAX(IF(('Журнал'!$C$2:$C$600=$A14)*('Журнал'!$B$2:$B$600="Егор")*('Журнал'!$A$2:$A$600=MAX(IF(('Журнал'!$C$2:$C$600=$A14)*('Журнал'!$B$2:$B$600="Егор"),'Журнал'!$A$2:$A$600,""))),'Журнал'!$G$2:$G$600,"")))</f>
        <v>70</v>
      </c>
      <c r="G14" s="30">
        <f t="shared" si="2"/>
        <v>0</v>
      </c>
    </row>
    <row r="15">
      <c r="A15" s="31" t="s">
        <v>126</v>
      </c>
      <c r="B15" s="32">
        <f t="array" ref="B15">IF(COUNTIFS('Журнал'!$C$2:$C$600,$A15,'Журнал'!$B$2:$B$600,"Данил")=0,"",MAX(IF(('Журнал'!$C$2:$C$600=$A15)*('Журнал'!$B$2:$B$600="Данил")*('Журнал'!$A$2:$A$600=MIN(IF(('Журнал'!$C$2:$C$600=$A15)*('Журнал'!$B$2:$B$600="Данил"),'Журнал'!$A$2:$A$600,""))),'Журнал'!$G$2:$G$600,"")))</f>
        <v>35</v>
      </c>
      <c r="C15" s="32">
        <f t="array" ref="C15">IF(COUNTIFS('Журнал'!$C$2:$C$600,$A15,'Журнал'!$B$2:$B$600,"Данил")=0,"",MAX(IF(('Журнал'!$C$2:$C$600=$A15)*('Журнал'!$B$2:$B$600="Данил")*('Журнал'!$A$2:$A$600=MAX(IF(('Журнал'!$C$2:$C$600=$A15)*('Журнал'!$B$2:$B$600="Данил"),'Журнал'!$A$2:$A$600,""))),'Журнал'!$G$2:$G$600,"")))</f>
        <v>35</v>
      </c>
      <c r="D15" s="33">
        <f t="shared" si="1"/>
        <v>0</v>
      </c>
      <c r="E15" s="32">
        <f t="array" ref="E15">IF(COUNTIFS('Журнал'!$C$2:$C$600,$A15,'Журнал'!$B$2:$B$600,"Егор")=0,"",MAX(IF(('Журнал'!$C$2:$C$600=$A15)*('Журнал'!$B$2:$B$600="Егор")*('Журнал'!$A$2:$A$600=MIN(IF(('Журнал'!$C$2:$C$600=$A15)*('Журнал'!$B$2:$B$600="Егор"),'Журнал'!$A$2:$A$600,""))),'Журнал'!$G$2:$G$600,"")))</f>
        <v>42</v>
      </c>
      <c r="F15" s="32">
        <f t="array" ref="F15">IF(COUNTIFS('Журнал'!$C$2:$C$600,$A15,'Журнал'!$B$2:$B$600,"Егор")=0,"",MAX(IF(('Журнал'!$C$2:$C$600=$A15)*('Журнал'!$B$2:$B$600="Егор")*('Журнал'!$A$2:$A$600=MAX(IF(('Журнал'!$C$2:$C$600=$A15)*('Журнал'!$B$2:$B$600="Егор"),'Журнал'!$A$2:$A$600,""))),'Журнал'!$G$2:$G$600,"")))</f>
        <v>42</v>
      </c>
      <c r="G15" s="33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B2:D2"/>
    <mergeCell ref="E2:G2"/>
  </mergeCells>
  <conditionalFormatting sqref="D4:D15">
    <cfRule type="cellIs" dxfId="0" priority="1" operator="greaterThan">
      <formula>0</formula>
    </cfRule>
  </conditionalFormatting>
  <conditionalFormatting sqref="D4:D15">
    <cfRule type="cellIs" dxfId="1" priority="2" operator="lessThan">
      <formula>0</formula>
    </cfRule>
  </conditionalFormatting>
  <conditionalFormatting sqref="G4:G15">
    <cfRule type="cellIs" dxfId="0" priority="3" operator="greaterThan">
      <formula>0</formula>
    </cfRule>
  </conditionalFormatting>
  <conditionalFormatting sqref="G4:G15">
    <cfRule type="cellIs" dxfId="1" priority="4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>
      <c r="A1" s="34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14.0"/>
    <col customWidth="1" min="4" max="26" width="8.71"/>
  </cols>
  <sheetData>
    <row r="1" ht="21.75" customHeight="1">
      <c r="A1" s="35" t="s">
        <v>135</v>
      </c>
    </row>
    <row r="2">
      <c r="A2" s="36" t="s">
        <v>136</v>
      </c>
      <c r="B2" s="37" t="s">
        <v>40</v>
      </c>
    </row>
    <row r="3" ht="25.5" customHeight="1">
      <c r="A3" s="38" t="s">
        <v>137</v>
      </c>
    </row>
    <row r="4">
      <c r="A4" s="8" t="s">
        <v>110</v>
      </c>
      <c r="B4" s="8" t="s">
        <v>138</v>
      </c>
      <c r="C4" s="8" t="s">
        <v>139</v>
      </c>
    </row>
    <row r="5">
      <c r="A5" s="39">
        <v>46195.0</v>
      </c>
      <c r="B5" s="40">
        <f t="array" ref="B5">IF($A5="","",IF(COUNTIFS('Журнал'!$C$2:$C$600,$B$2,'Журнал'!$B$2:$B$600,"Данил",'Журнал'!$A$2:$A$600,$A5)=0,NA(),MAX(IF(('Журнал'!$C$2:$C$600=$B$2)*('Журнал'!$B$2:$B$600="Данил")*('Журнал'!$A$2:$A$600=$A5),'Журнал'!$G$2:$G$600,""))))</f>
        <v>25.2</v>
      </c>
      <c r="C5" s="40">
        <f t="array" ref="C5">IF($A5="","",IF(COUNTIFS('Журнал'!$C$2:$C$600,$B$2,'Журнал'!$B$2:$B$600,"Егор",'Журнал'!$A$2:$A$600,$A5)=0,NA(),MAX(IF(('Журнал'!$C$2:$C$600=$B$2)*('Журнал'!$B$2:$B$600="Егор")*('Журнал'!$A$2:$A$600=$A5),'Журнал'!$G$2:$G$600,""))))</f>
        <v>33.6</v>
      </c>
    </row>
    <row r="6">
      <c r="A6" s="39">
        <v>46196.0</v>
      </c>
      <c r="B6" s="40" t="str">
        <f t="array" ref="B6">IF($A6="","",IF(COUNTIFS('Журнал'!$C$2:$C$600,$B$2,'Журнал'!$B$2:$B$600,"Данил",'Журнал'!$A$2:$A$600,$A6)=0,NA(),MAX(IF(('Журнал'!$C$2:$C$600=$B$2)*('Журнал'!$B$2:$B$600="Данил")*('Журнал'!$A$2:$A$600=$A6),'Журнал'!$G$2:$G$600,""))))</f>
        <v>#N/A</v>
      </c>
      <c r="C6" s="40" t="str">
        <f t="array" ref="C6">IF($A6="","",IF(COUNTIFS('Журнал'!$C$2:$C$600,$B$2,'Журнал'!$B$2:$B$600,"Егор",'Журнал'!$A$2:$A$600,$A6)=0,NA(),MAX(IF(('Журнал'!$C$2:$C$600=$B$2)*('Журнал'!$B$2:$B$600="Егор")*('Журнал'!$A$2:$A$600=$A6),'Журнал'!$G$2:$G$600,""))))</f>
        <v>#N/A</v>
      </c>
    </row>
    <row r="7">
      <c r="A7" s="39">
        <v>46198.0</v>
      </c>
      <c r="B7" s="40" t="str">
        <f t="array" ref="B7">IF($A7="","",IF(COUNTIFS('Журнал'!$C$2:$C$600,$B$2,'Журнал'!$B$2:$B$600,"Данил",'Журнал'!$A$2:$A$600,$A7)=0,NA(),MAX(IF(('Журнал'!$C$2:$C$600=$B$2)*('Журнал'!$B$2:$B$600="Данил")*('Журнал'!$A$2:$A$600=$A7),'Журнал'!$G$2:$G$600,""))))</f>
        <v>#N/A</v>
      </c>
      <c r="C7" s="40" t="str">
        <f t="array" ref="C7">IF($A7="","",IF(COUNTIFS('Журнал'!$C$2:$C$600,$B$2,'Журнал'!$B$2:$B$600,"Егор",'Журнал'!$A$2:$A$600,$A7)=0,NA(),MAX(IF(('Журнал'!$C$2:$C$600=$B$2)*('Журнал'!$B$2:$B$600="Егор")*('Журнал'!$A$2:$A$600=$A7),'Журнал'!$G$2:$G$600,""))))</f>
        <v>#N/A</v>
      </c>
    </row>
    <row r="8">
      <c r="A8" s="39">
        <v>46199.0</v>
      </c>
      <c r="B8" s="40" t="str">
        <f t="array" ref="B8">IF($A8="","",IF(COUNTIFS('Журнал'!$C$2:$C$600,$B$2,'Журнал'!$B$2:$B$600,"Данил",'Журнал'!$A$2:$A$600,$A8)=0,NA(),MAX(IF(('Журнал'!$C$2:$C$600=$B$2)*('Журнал'!$B$2:$B$600="Данил")*('Журнал'!$A$2:$A$600=$A8),'Журнал'!$G$2:$G$600,""))))</f>
        <v>#N/A</v>
      </c>
      <c r="C8" s="40" t="str">
        <f t="array" ref="C8">IF($A8="","",IF(COUNTIFS('Журнал'!$C$2:$C$600,$B$2,'Журнал'!$B$2:$B$600,"Егор",'Журнал'!$A$2:$A$600,$A8)=0,NA(),MAX(IF(('Журнал'!$C$2:$C$600=$B$2)*('Журнал'!$B$2:$B$600="Егор")*('Журнал'!$A$2:$A$600=$A8),'Журнал'!$G$2:$G$600,""))))</f>
        <v>#N/A</v>
      </c>
    </row>
    <row r="9">
      <c r="A9" s="39">
        <v>46202.0</v>
      </c>
      <c r="B9" s="40" t="str">
        <f t="array" ref="B9">IF($A9="","",IF(COUNTIFS('Журнал'!$C$2:$C$600,$B$2,'Журнал'!$B$2:$B$600,"Данил",'Журнал'!$A$2:$A$600,$A9)=0,NA(),MAX(IF(('Журнал'!$C$2:$C$600=$B$2)*('Журнал'!$B$2:$B$600="Данил")*('Журнал'!$A$2:$A$600=$A9),'Журнал'!$G$2:$G$600,""))))</f>
        <v>#N/A</v>
      </c>
      <c r="C9" s="40" t="str">
        <f t="array" ref="C9">IF($A9="","",IF(COUNTIFS('Журнал'!$C$2:$C$600,$B$2,'Журнал'!$B$2:$B$600,"Егор",'Журнал'!$A$2:$A$600,$A9)=0,NA(),MAX(IF(('Журнал'!$C$2:$C$600=$B$2)*('Журнал'!$B$2:$B$600="Егор")*('Журнал'!$A$2:$A$600=$A9),'Журнал'!$G$2:$G$600,""))))</f>
        <v>#N/A</v>
      </c>
    </row>
    <row r="10">
      <c r="A10" s="39">
        <v>46203.0</v>
      </c>
      <c r="B10" s="40" t="str">
        <f t="array" ref="B10">IF($A10="","",IF(COUNTIFS('Журнал'!$C$2:$C$600,$B$2,'Журнал'!$B$2:$B$600,"Данил",'Журнал'!$A$2:$A$600,$A10)=0,NA(),MAX(IF(('Журнал'!$C$2:$C$600=$B$2)*('Журнал'!$B$2:$B$600="Данил")*('Журнал'!$A$2:$A$600=$A10),'Журнал'!$G$2:$G$600,""))))</f>
        <v>#N/A</v>
      </c>
      <c r="C10" s="40" t="str">
        <f t="array" ref="C10">IF($A10="","",IF(COUNTIFS('Журнал'!$C$2:$C$600,$B$2,'Журнал'!$B$2:$B$600,"Егор",'Журнал'!$A$2:$A$600,$A10)=0,NA(),MAX(IF(('Журнал'!$C$2:$C$600=$B$2)*('Журнал'!$B$2:$B$600="Егор")*('Журнал'!$A$2:$A$600=$A10),'Журнал'!$G$2:$G$600,""))))</f>
        <v>#N/A</v>
      </c>
    </row>
    <row r="11">
      <c r="A11" s="39">
        <v>46205.0</v>
      </c>
      <c r="B11" s="40" t="str">
        <f t="array" ref="B11">IF($A11="","",IF(COUNTIFS('Журнал'!$C$2:$C$600,$B$2,'Журнал'!$B$2:$B$600,"Данил",'Журнал'!$A$2:$A$600,$A11)=0,NA(),MAX(IF(('Журнал'!$C$2:$C$600=$B$2)*('Журнал'!$B$2:$B$600="Данил")*('Журнал'!$A$2:$A$600=$A11),'Журнал'!$G$2:$G$600,""))))</f>
        <v>#N/A</v>
      </c>
      <c r="C11" s="40" t="str">
        <f t="array" ref="C11">IF($A11="","",IF(COUNTIFS('Журнал'!$C$2:$C$600,$B$2,'Журнал'!$B$2:$B$600,"Егор",'Журнал'!$A$2:$A$600,$A11)=0,NA(),MAX(IF(('Журнал'!$C$2:$C$600=$B$2)*('Журнал'!$B$2:$B$600="Егор")*('Журнал'!$A$2:$A$600=$A11),'Журнал'!$G$2:$G$600,""))))</f>
        <v>#N/A</v>
      </c>
    </row>
    <row r="12">
      <c r="A12" s="39">
        <v>46206.0</v>
      </c>
      <c r="B12" s="40" t="str">
        <f t="array" ref="B12">IF($A12="","",IF(COUNTIFS('Журнал'!$C$2:$C$600,$B$2,'Журнал'!$B$2:$B$600,"Данил",'Журнал'!$A$2:$A$600,$A12)=0,NA(),MAX(IF(('Журнал'!$C$2:$C$600=$B$2)*('Журнал'!$B$2:$B$600="Данил")*('Журнал'!$A$2:$A$600=$A12),'Журнал'!$G$2:$G$600,""))))</f>
        <v>#N/A</v>
      </c>
      <c r="C12" s="40" t="str">
        <f t="array" ref="C12">IF($A12="","",IF(COUNTIFS('Журнал'!$C$2:$C$600,$B$2,'Журнал'!$B$2:$B$600,"Егор",'Журнал'!$A$2:$A$600,$A12)=0,NA(),MAX(IF(('Журнал'!$C$2:$C$600=$B$2)*('Журнал'!$B$2:$B$600="Егор")*('Журнал'!$A$2:$A$600=$A12),'Журнал'!$G$2:$G$600,""))))</f>
        <v>#N/A</v>
      </c>
    </row>
    <row r="13">
      <c r="A13" s="39">
        <v>46209.0</v>
      </c>
      <c r="B13" s="40" t="str">
        <f t="array" ref="B13">IF($A13="","",IF(COUNTIFS('Журнал'!$C$2:$C$600,$B$2,'Журнал'!$B$2:$B$600,"Данил",'Журнал'!$A$2:$A$600,$A13)=0,NA(),MAX(IF(('Журнал'!$C$2:$C$600=$B$2)*('Журнал'!$B$2:$B$600="Данил")*('Журнал'!$A$2:$A$600=$A13),'Журнал'!$G$2:$G$600,""))))</f>
        <v>#N/A</v>
      </c>
      <c r="C13" s="40" t="str">
        <f t="array" ref="C13">IF($A13="","",IF(COUNTIFS('Журнал'!$C$2:$C$600,$B$2,'Журнал'!$B$2:$B$600,"Егор",'Журнал'!$A$2:$A$600,$A13)=0,NA(),MAX(IF(('Журнал'!$C$2:$C$600=$B$2)*('Журнал'!$B$2:$B$600="Егор")*('Журнал'!$A$2:$A$600=$A13),'Журнал'!$G$2:$G$600,""))))</f>
        <v>#N/A</v>
      </c>
    </row>
    <row r="14">
      <c r="A14" s="39">
        <v>46210.0</v>
      </c>
      <c r="B14" s="40" t="str">
        <f t="array" ref="B14">IF($A14="","",IF(COUNTIFS('Журнал'!$C$2:$C$600,$B$2,'Журнал'!$B$2:$B$600,"Данил",'Журнал'!$A$2:$A$600,$A14)=0,NA(),MAX(IF(('Журнал'!$C$2:$C$600=$B$2)*('Журнал'!$B$2:$B$600="Данил")*('Журнал'!$A$2:$A$600=$A14),'Журнал'!$G$2:$G$600,""))))</f>
        <v>#N/A</v>
      </c>
      <c r="C14" s="40" t="str">
        <f t="array" ref="C14">IF($A14="","",IF(COUNTIFS('Журнал'!$C$2:$C$600,$B$2,'Журнал'!$B$2:$B$600,"Егор",'Журнал'!$A$2:$A$600,$A14)=0,NA(),MAX(IF(('Журнал'!$C$2:$C$600=$B$2)*('Журнал'!$B$2:$B$600="Егор")*('Журнал'!$A$2:$A$600=$A14),'Журнал'!$G$2:$G$600,""))))</f>
        <v>#N/A</v>
      </c>
    </row>
    <row r="15">
      <c r="A15" s="39">
        <v>46212.0</v>
      </c>
      <c r="B15" s="40" t="str">
        <f t="array" ref="B15">IF($A15="","",IF(COUNTIFS('Журнал'!$C$2:$C$600,$B$2,'Журнал'!$B$2:$B$600,"Данил",'Журнал'!$A$2:$A$600,$A15)=0,NA(),MAX(IF(('Журнал'!$C$2:$C$600=$B$2)*('Журнал'!$B$2:$B$600="Данил")*('Журнал'!$A$2:$A$600=$A15),'Журнал'!$G$2:$G$600,""))))</f>
        <v>#N/A</v>
      </c>
      <c r="C15" s="40" t="str">
        <f t="array" ref="C15">IF($A15="","",IF(COUNTIFS('Журнал'!$C$2:$C$600,$B$2,'Журнал'!$B$2:$B$600,"Егор",'Журнал'!$A$2:$A$600,$A15)=0,NA(),MAX(IF(('Журнал'!$C$2:$C$600=$B$2)*('Журнал'!$B$2:$B$600="Егор")*('Журнал'!$A$2:$A$600=$A15),'Журнал'!$G$2:$G$600,""))))</f>
        <v>#N/A</v>
      </c>
    </row>
    <row r="16">
      <c r="A16" s="39">
        <v>46213.0</v>
      </c>
      <c r="B16" s="40" t="str">
        <f t="array" ref="B16">IF($A16="","",IF(COUNTIFS('Журнал'!$C$2:$C$600,$B$2,'Журнал'!$B$2:$B$600,"Данил",'Журнал'!$A$2:$A$600,$A16)=0,NA(),MAX(IF(('Журнал'!$C$2:$C$600=$B$2)*('Журнал'!$B$2:$B$600="Данил")*('Журнал'!$A$2:$A$600=$A16),'Журнал'!$G$2:$G$600,""))))</f>
        <v>#N/A</v>
      </c>
      <c r="C16" s="40" t="str">
        <f t="array" ref="C16">IF($A16="","",IF(COUNTIFS('Журнал'!$C$2:$C$600,$B$2,'Журнал'!$B$2:$B$600,"Егор",'Журнал'!$A$2:$A$600,$A16)=0,NA(),MAX(IF(('Журнал'!$C$2:$C$600=$B$2)*('Журнал'!$B$2:$B$600="Егор")*('Журнал'!$A$2:$A$600=$A16),'Журнал'!$G$2:$G$600,""))))</f>
        <v>#N/A</v>
      </c>
    </row>
    <row r="17">
      <c r="A17" s="39">
        <v>46216.0</v>
      </c>
      <c r="B17" s="40" t="str">
        <f t="array" ref="B17">IF($A17="","",IF(COUNTIFS('Журнал'!$C$2:$C$600,$B$2,'Журнал'!$B$2:$B$600,"Данил",'Журнал'!$A$2:$A$600,$A17)=0,NA(),MAX(IF(('Журнал'!$C$2:$C$600=$B$2)*('Журнал'!$B$2:$B$600="Данил")*('Журнал'!$A$2:$A$600=$A17),'Журнал'!$G$2:$G$600,""))))</f>
        <v>#N/A</v>
      </c>
      <c r="C17" s="40" t="str">
        <f t="array" ref="C17">IF($A17="","",IF(COUNTIFS('Журнал'!$C$2:$C$600,$B$2,'Журнал'!$B$2:$B$600,"Егор",'Журнал'!$A$2:$A$600,$A17)=0,NA(),MAX(IF(('Журнал'!$C$2:$C$600=$B$2)*('Журнал'!$B$2:$B$600="Егор")*('Журнал'!$A$2:$A$600=$A17),'Журнал'!$G$2:$G$600,""))))</f>
        <v>#N/A</v>
      </c>
    </row>
    <row r="18">
      <c r="A18" s="39">
        <v>46217.0</v>
      </c>
      <c r="B18" s="40" t="str">
        <f t="array" ref="B18">IF($A18="","",IF(COUNTIFS('Журнал'!$C$2:$C$600,$B$2,'Журнал'!$B$2:$B$600,"Данил",'Журнал'!$A$2:$A$600,$A18)=0,NA(),MAX(IF(('Журнал'!$C$2:$C$600=$B$2)*('Журнал'!$B$2:$B$600="Данил")*('Журнал'!$A$2:$A$600=$A18),'Журнал'!$G$2:$G$600,""))))</f>
        <v>#N/A</v>
      </c>
      <c r="C18" s="40" t="str">
        <f t="array" ref="C18">IF($A18="","",IF(COUNTIFS('Журнал'!$C$2:$C$600,$B$2,'Журнал'!$B$2:$B$600,"Егор",'Журнал'!$A$2:$A$600,$A18)=0,NA(),MAX(IF(('Журнал'!$C$2:$C$600=$B$2)*('Журнал'!$B$2:$B$600="Егор")*('Журнал'!$A$2:$A$600=$A18),'Журнал'!$G$2:$G$600,""))))</f>
        <v>#N/A</v>
      </c>
    </row>
    <row r="19">
      <c r="A19" s="39">
        <v>46219.0</v>
      </c>
      <c r="B19" s="40" t="str">
        <f t="array" ref="B19">IF($A19="","",IF(COUNTIFS('Журнал'!$C$2:$C$600,$B$2,'Журнал'!$B$2:$B$600,"Данил",'Журнал'!$A$2:$A$600,$A19)=0,NA(),MAX(IF(('Журнал'!$C$2:$C$600=$B$2)*('Журнал'!$B$2:$B$600="Данил")*('Журнал'!$A$2:$A$600=$A19),'Журнал'!$G$2:$G$600,""))))</f>
        <v>#N/A</v>
      </c>
      <c r="C19" s="40" t="str">
        <f t="array" ref="C19">IF($A19="","",IF(COUNTIFS('Журнал'!$C$2:$C$600,$B$2,'Журнал'!$B$2:$B$600,"Егор",'Журнал'!$A$2:$A$600,$A19)=0,NA(),MAX(IF(('Журнал'!$C$2:$C$600=$B$2)*('Журнал'!$B$2:$B$600="Егор")*('Журнал'!$A$2:$A$600=$A19),'Журнал'!$G$2:$G$600,""))))</f>
        <v>#N/A</v>
      </c>
    </row>
    <row r="20">
      <c r="A20" s="39">
        <v>46220.0</v>
      </c>
      <c r="B20" s="40" t="str">
        <f t="array" ref="B20">IF($A20="","",IF(COUNTIFS('Журнал'!$C$2:$C$600,$B$2,'Журнал'!$B$2:$B$600,"Данил",'Журнал'!$A$2:$A$600,$A20)=0,NA(),MAX(IF(('Журнал'!$C$2:$C$600=$B$2)*('Журнал'!$B$2:$B$600="Данил")*('Журнал'!$A$2:$A$600=$A20),'Журнал'!$G$2:$G$600,""))))</f>
        <v>#N/A</v>
      </c>
      <c r="C20" s="40" t="str">
        <f t="array" ref="C20">IF($A20="","",IF(COUNTIFS('Журнал'!$C$2:$C$600,$B$2,'Журнал'!$B$2:$B$600,"Егор",'Журнал'!$A$2:$A$600,$A20)=0,NA(),MAX(IF(('Журнал'!$C$2:$C$600=$B$2)*('Журнал'!$B$2:$B$600="Егор")*('Журнал'!$A$2:$A$600=$A20),'Журнал'!$G$2:$G$600,""))))</f>
        <v>#N/A</v>
      </c>
    </row>
    <row r="21" ht="15.75" customHeight="1">
      <c r="A21" s="39">
        <v>46223.0</v>
      </c>
      <c r="B21" s="40" t="str">
        <f t="array" ref="B21">IF($A21="","",IF(COUNTIFS('Журнал'!$C$2:$C$600,$B$2,'Журнал'!$B$2:$B$600,"Данил",'Журнал'!$A$2:$A$600,$A21)=0,NA(),MAX(IF(('Журнал'!$C$2:$C$600=$B$2)*('Журнал'!$B$2:$B$600="Данил")*('Журнал'!$A$2:$A$600=$A21),'Журнал'!$G$2:$G$600,""))))</f>
        <v>#N/A</v>
      </c>
      <c r="C21" s="40" t="str">
        <f t="array" ref="C21">IF($A21="","",IF(COUNTIFS('Журнал'!$C$2:$C$600,$B$2,'Журнал'!$B$2:$B$600,"Егор",'Журнал'!$A$2:$A$600,$A21)=0,NA(),MAX(IF(('Журнал'!$C$2:$C$600=$B$2)*('Журнал'!$B$2:$B$600="Егор")*('Журнал'!$A$2:$A$600=$A21),'Журнал'!$G$2:$G$600,""))))</f>
        <v>#N/A</v>
      </c>
    </row>
    <row r="22" ht="15.75" customHeight="1">
      <c r="A22" s="39">
        <v>46224.0</v>
      </c>
      <c r="B22" s="40" t="str">
        <f t="array" ref="B22">IF($A22="","",IF(COUNTIFS('Журнал'!$C$2:$C$600,$B$2,'Журнал'!$B$2:$B$600,"Данил",'Журнал'!$A$2:$A$600,$A22)=0,NA(),MAX(IF(('Журнал'!$C$2:$C$600=$B$2)*('Журнал'!$B$2:$B$600="Данил")*('Журнал'!$A$2:$A$600=$A22),'Журнал'!$G$2:$G$600,""))))</f>
        <v>#N/A</v>
      </c>
      <c r="C22" s="40" t="str">
        <f t="array" ref="C22">IF($A22="","",IF(COUNTIFS('Журнал'!$C$2:$C$600,$B$2,'Журнал'!$B$2:$B$600,"Егор",'Журнал'!$A$2:$A$600,$A22)=0,NA(),MAX(IF(('Журнал'!$C$2:$C$600=$B$2)*('Журнал'!$B$2:$B$600="Егор")*('Журнал'!$A$2:$A$600=$A22),'Журнал'!$G$2:$G$600,""))))</f>
        <v>#N/A</v>
      </c>
    </row>
    <row r="23" ht="15.75" customHeight="1">
      <c r="A23" s="39">
        <v>46226.0</v>
      </c>
      <c r="B23" s="40" t="str">
        <f t="array" ref="B23">IF($A23="","",IF(COUNTIFS('Журнал'!$C$2:$C$600,$B$2,'Журнал'!$B$2:$B$600,"Данил",'Журнал'!$A$2:$A$600,$A23)=0,NA(),MAX(IF(('Журнал'!$C$2:$C$600=$B$2)*('Журнал'!$B$2:$B$600="Данил")*('Журнал'!$A$2:$A$600=$A23),'Журнал'!$G$2:$G$600,""))))</f>
        <v>#N/A</v>
      </c>
      <c r="C23" s="40" t="str">
        <f t="array" ref="C23">IF($A23="","",IF(COUNTIFS('Журнал'!$C$2:$C$600,$B$2,'Журнал'!$B$2:$B$600,"Егор",'Журнал'!$A$2:$A$600,$A23)=0,NA(),MAX(IF(('Журнал'!$C$2:$C$600=$B$2)*('Журнал'!$B$2:$B$600="Егор")*('Журнал'!$A$2:$A$600=$A23),'Журнал'!$G$2:$G$600,""))))</f>
        <v>#N/A</v>
      </c>
    </row>
    <row r="24" ht="15.75" customHeight="1">
      <c r="A24" s="39">
        <v>46227.0</v>
      </c>
      <c r="B24" s="40" t="str">
        <f t="array" ref="B24">IF($A24="","",IF(COUNTIFS('Журнал'!$C$2:$C$600,$B$2,'Журнал'!$B$2:$B$600,"Данил",'Журнал'!$A$2:$A$600,$A24)=0,NA(),MAX(IF(('Журнал'!$C$2:$C$600=$B$2)*('Журнал'!$B$2:$B$600="Данил")*('Журнал'!$A$2:$A$600=$A24),'Журнал'!$G$2:$G$600,""))))</f>
        <v>#N/A</v>
      </c>
      <c r="C24" s="40" t="str">
        <f t="array" ref="C24">IF($A24="","",IF(COUNTIFS('Журнал'!$C$2:$C$600,$B$2,'Журнал'!$B$2:$B$600,"Егор",'Журнал'!$A$2:$A$600,$A24)=0,NA(),MAX(IF(('Журнал'!$C$2:$C$600=$B$2)*('Журнал'!$B$2:$B$600="Егор")*('Журнал'!$A$2:$A$600=$A24),'Журнал'!$G$2:$G$600,""))))</f>
        <v>#N/A</v>
      </c>
    </row>
    <row r="25" ht="15.75" customHeight="1">
      <c r="A25" s="39">
        <v>46230.0</v>
      </c>
      <c r="B25" s="40" t="str">
        <f t="array" ref="B25">IF($A25="","",IF(COUNTIFS('Журнал'!$C$2:$C$600,$B$2,'Журнал'!$B$2:$B$600,"Данил",'Журнал'!$A$2:$A$600,$A25)=0,NA(),MAX(IF(('Журнал'!$C$2:$C$600=$B$2)*('Журнал'!$B$2:$B$600="Данил")*('Журнал'!$A$2:$A$600=$A25),'Журнал'!$G$2:$G$600,""))))</f>
        <v>#N/A</v>
      </c>
      <c r="C25" s="40" t="str">
        <f t="array" ref="C25">IF($A25="","",IF(COUNTIFS('Журнал'!$C$2:$C$600,$B$2,'Журнал'!$B$2:$B$600,"Егор",'Журнал'!$A$2:$A$600,$A25)=0,NA(),MAX(IF(('Журнал'!$C$2:$C$600=$B$2)*('Журнал'!$B$2:$B$600="Егор")*('Журнал'!$A$2:$A$600=$A25),'Журнал'!$G$2:$G$600,""))))</f>
        <v>#N/A</v>
      </c>
    </row>
    <row r="26" ht="15.75" customHeight="1">
      <c r="A26" s="39">
        <v>46231.0</v>
      </c>
      <c r="B26" s="40" t="str">
        <f t="array" ref="B26">IF($A26="","",IF(COUNTIFS('Журнал'!$C$2:$C$600,$B$2,'Журнал'!$B$2:$B$600,"Данил",'Журнал'!$A$2:$A$600,$A26)=0,NA(),MAX(IF(('Журнал'!$C$2:$C$600=$B$2)*('Журнал'!$B$2:$B$600="Данил")*('Журнал'!$A$2:$A$600=$A26),'Журнал'!$G$2:$G$600,""))))</f>
        <v>#N/A</v>
      </c>
      <c r="C26" s="40" t="str">
        <f t="array" ref="C26">IF($A26="","",IF(COUNTIFS('Журнал'!$C$2:$C$600,$B$2,'Журнал'!$B$2:$B$600,"Егор",'Журнал'!$A$2:$A$600,$A26)=0,NA(),MAX(IF(('Журнал'!$C$2:$C$600=$B$2)*('Журнал'!$B$2:$B$600="Егор")*('Журнал'!$A$2:$A$600=$A26),'Журнал'!$G$2:$G$600,""))))</f>
        <v>#N/A</v>
      </c>
    </row>
    <row r="27" ht="15.75" customHeight="1">
      <c r="A27" s="39">
        <v>46233.0</v>
      </c>
      <c r="B27" s="40" t="str">
        <f t="array" ref="B27">IF($A27="","",IF(COUNTIFS('Журнал'!$C$2:$C$600,$B$2,'Журнал'!$B$2:$B$600,"Данил",'Журнал'!$A$2:$A$600,$A27)=0,NA(),MAX(IF(('Журнал'!$C$2:$C$600=$B$2)*('Журнал'!$B$2:$B$600="Данил")*('Журнал'!$A$2:$A$600=$A27),'Журнал'!$G$2:$G$600,""))))</f>
        <v>#N/A</v>
      </c>
      <c r="C27" s="40" t="str">
        <f t="array" ref="C27">IF($A27="","",IF(COUNTIFS('Журнал'!$C$2:$C$600,$B$2,'Журнал'!$B$2:$B$600,"Егор",'Журнал'!$A$2:$A$600,$A27)=0,NA(),MAX(IF(('Журнал'!$C$2:$C$600=$B$2)*('Журнал'!$B$2:$B$600="Егор")*('Журнал'!$A$2:$A$600=$A27),'Журнал'!$G$2:$G$600,""))))</f>
        <v>#N/A</v>
      </c>
    </row>
    <row r="28" ht="15.75" customHeight="1">
      <c r="A28" s="39">
        <v>46234.0</v>
      </c>
      <c r="B28" s="40" t="str">
        <f t="array" ref="B28">IF($A28="","",IF(COUNTIFS('Журнал'!$C$2:$C$600,$B$2,'Журнал'!$B$2:$B$600,"Данил",'Журнал'!$A$2:$A$600,$A28)=0,NA(),MAX(IF(('Журнал'!$C$2:$C$600=$B$2)*('Журнал'!$B$2:$B$600="Данил")*('Журнал'!$A$2:$A$600=$A28),'Журнал'!$G$2:$G$600,""))))</f>
        <v>#N/A</v>
      </c>
      <c r="C28" s="40" t="str">
        <f t="array" ref="C28">IF($A28="","",IF(COUNTIFS('Журнал'!$C$2:$C$600,$B$2,'Журнал'!$B$2:$B$600,"Егор",'Журнал'!$A$2:$A$600,$A28)=0,NA(),MAX(IF(('Журнал'!$C$2:$C$600=$B$2)*('Журнал'!$B$2:$B$600="Егор")*('Журнал'!$A$2:$A$600=$A28),'Журнал'!$G$2:$G$600,""))))</f>
        <v>#N/A</v>
      </c>
    </row>
    <row r="29" ht="15.75" customHeight="1">
      <c r="A29" s="39">
        <v>46237.0</v>
      </c>
      <c r="B29" s="40" t="str">
        <f t="array" ref="B29">IF($A29="","",IF(COUNTIFS('Журнал'!$C$2:$C$600,$B$2,'Журнал'!$B$2:$B$600,"Данил",'Журнал'!$A$2:$A$600,$A29)=0,NA(),MAX(IF(('Журнал'!$C$2:$C$600=$B$2)*('Журнал'!$B$2:$B$600="Данил")*('Журнал'!$A$2:$A$600=$A29),'Журнал'!$G$2:$G$600,""))))</f>
        <v>#N/A</v>
      </c>
      <c r="C29" s="40" t="str">
        <f t="array" ref="C29">IF($A29="","",IF(COUNTIFS('Журнал'!$C$2:$C$600,$B$2,'Журнал'!$B$2:$B$600,"Егор",'Журнал'!$A$2:$A$600,$A29)=0,NA(),MAX(IF(('Журнал'!$C$2:$C$600=$B$2)*('Журнал'!$B$2:$B$600="Егор")*('Журнал'!$A$2:$A$600=$A29),'Журнал'!$G$2:$G$600,""))))</f>
        <v>#N/A</v>
      </c>
    </row>
    <row r="30" ht="15.75" customHeight="1">
      <c r="A30" s="39">
        <v>46238.0</v>
      </c>
      <c r="B30" s="40" t="str">
        <f t="array" ref="B30">IF($A30="","",IF(COUNTIFS('Журнал'!$C$2:$C$600,$B$2,'Журнал'!$B$2:$B$600,"Данил",'Журнал'!$A$2:$A$600,$A30)=0,NA(),MAX(IF(('Журнал'!$C$2:$C$600=$B$2)*('Журнал'!$B$2:$B$600="Данил")*('Журнал'!$A$2:$A$600=$A30),'Журнал'!$G$2:$G$600,""))))</f>
        <v>#N/A</v>
      </c>
      <c r="C30" s="40" t="str">
        <f t="array" ref="C30">IF($A30="","",IF(COUNTIFS('Журнал'!$C$2:$C$600,$B$2,'Журнал'!$B$2:$B$600,"Егор",'Журнал'!$A$2:$A$600,$A30)=0,NA(),MAX(IF(('Журнал'!$C$2:$C$600=$B$2)*('Журнал'!$B$2:$B$600="Егор")*('Журнал'!$A$2:$A$600=$A30),'Журнал'!$G$2:$G$600,""))))</f>
        <v>#N/A</v>
      </c>
    </row>
    <row r="31" ht="15.75" customHeight="1">
      <c r="A31" s="39">
        <v>46240.0</v>
      </c>
      <c r="B31" s="40" t="str">
        <f t="array" ref="B31">IF($A31="","",IF(COUNTIFS('Журнал'!$C$2:$C$600,$B$2,'Журнал'!$B$2:$B$600,"Данил",'Журнал'!$A$2:$A$600,$A31)=0,NA(),MAX(IF(('Журнал'!$C$2:$C$600=$B$2)*('Журнал'!$B$2:$B$600="Данил")*('Журнал'!$A$2:$A$600=$A31),'Журнал'!$G$2:$G$600,""))))</f>
        <v>#N/A</v>
      </c>
      <c r="C31" s="40" t="str">
        <f t="array" ref="C31">IF($A31="","",IF(COUNTIFS('Журнал'!$C$2:$C$600,$B$2,'Журнал'!$B$2:$B$600,"Егор",'Журнал'!$A$2:$A$600,$A31)=0,NA(),MAX(IF(('Журнал'!$C$2:$C$600=$B$2)*('Журнал'!$B$2:$B$600="Егор")*('Журнал'!$A$2:$A$600=$A31),'Журнал'!$G$2:$G$600,""))))</f>
        <v>#N/A</v>
      </c>
    </row>
    <row r="32" ht="15.75" customHeight="1">
      <c r="A32" s="39">
        <v>46241.0</v>
      </c>
      <c r="B32" s="40" t="str">
        <f t="array" ref="B32">IF($A32="","",IF(COUNTIFS('Журнал'!$C$2:$C$600,$B$2,'Журнал'!$B$2:$B$600,"Данил",'Журнал'!$A$2:$A$600,$A32)=0,NA(),MAX(IF(('Журнал'!$C$2:$C$600=$B$2)*('Журнал'!$B$2:$B$600="Данил")*('Журнал'!$A$2:$A$600=$A32),'Журнал'!$G$2:$G$600,""))))</f>
        <v>#N/A</v>
      </c>
      <c r="C32" s="40" t="str">
        <f t="array" ref="C32">IF($A32="","",IF(COUNTIFS('Журнал'!$C$2:$C$600,$B$2,'Журнал'!$B$2:$B$600,"Егор",'Журнал'!$A$2:$A$600,$A32)=0,NA(),MAX(IF(('Журнал'!$C$2:$C$600=$B$2)*('Журнал'!$B$2:$B$600="Егор")*('Журнал'!$A$2:$A$600=$A32),'Журнал'!$G$2:$G$600,""))))</f>
        <v>#N/A</v>
      </c>
    </row>
    <row r="33" ht="15.75" customHeight="1">
      <c r="A33" s="39">
        <v>46244.0</v>
      </c>
      <c r="B33" s="40" t="str">
        <f t="array" ref="B33">IF($A33="","",IF(COUNTIFS('Журнал'!$C$2:$C$600,$B$2,'Журнал'!$B$2:$B$600,"Данил",'Журнал'!$A$2:$A$600,$A33)=0,NA(),MAX(IF(('Журнал'!$C$2:$C$600=$B$2)*('Журнал'!$B$2:$B$600="Данил")*('Журнал'!$A$2:$A$600=$A33),'Журнал'!$G$2:$G$600,""))))</f>
        <v>#N/A</v>
      </c>
      <c r="C33" s="40" t="str">
        <f t="array" ref="C33">IF($A33="","",IF(COUNTIFS('Журнал'!$C$2:$C$600,$B$2,'Журнал'!$B$2:$B$600,"Егор",'Журнал'!$A$2:$A$600,$A33)=0,NA(),MAX(IF(('Журнал'!$C$2:$C$600=$B$2)*('Журнал'!$B$2:$B$600="Егор")*('Журнал'!$A$2:$A$600=$A33),'Журнал'!$G$2:$G$600,""))))</f>
        <v>#N/A</v>
      </c>
    </row>
    <row r="34" ht="15.75" customHeight="1">
      <c r="A34" s="39">
        <v>46245.0</v>
      </c>
      <c r="B34" s="40" t="str">
        <f t="array" ref="B34">IF($A34="","",IF(COUNTIFS('Журнал'!$C$2:$C$600,$B$2,'Журнал'!$B$2:$B$600,"Данил",'Журнал'!$A$2:$A$600,$A34)=0,NA(),MAX(IF(('Журнал'!$C$2:$C$600=$B$2)*('Журнал'!$B$2:$B$600="Данил")*('Журнал'!$A$2:$A$600=$A34),'Журнал'!$G$2:$G$600,""))))</f>
        <v>#N/A</v>
      </c>
      <c r="C34" s="40" t="str">
        <f t="array" ref="C34">IF($A34="","",IF(COUNTIFS('Журнал'!$C$2:$C$600,$B$2,'Журнал'!$B$2:$B$600,"Егор",'Журнал'!$A$2:$A$600,$A34)=0,NA(),MAX(IF(('Журнал'!$C$2:$C$600=$B$2)*('Журнал'!$B$2:$B$600="Егор")*('Журнал'!$A$2:$A$600=$A34),'Журнал'!$G$2:$G$600,""))))</f>
        <v>#N/A</v>
      </c>
    </row>
    <row r="35" ht="15.75" customHeight="1">
      <c r="A35" s="39">
        <v>46247.0</v>
      </c>
      <c r="B35" s="40" t="str">
        <f t="array" ref="B35">IF($A35="","",IF(COUNTIFS('Журнал'!$C$2:$C$600,$B$2,'Журнал'!$B$2:$B$600,"Данил",'Журнал'!$A$2:$A$600,$A35)=0,NA(),MAX(IF(('Журнал'!$C$2:$C$600=$B$2)*('Журнал'!$B$2:$B$600="Данил")*('Журнал'!$A$2:$A$600=$A35),'Журнал'!$G$2:$G$600,""))))</f>
        <v>#N/A</v>
      </c>
      <c r="C35" s="40" t="str">
        <f t="array" ref="C35">IF($A35="","",IF(COUNTIFS('Журнал'!$C$2:$C$600,$B$2,'Журнал'!$B$2:$B$600,"Егор",'Журнал'!$A$2:$A$600,$A35)=0,NA(),MAX(IF(('Журнал'!$C$2:$C$600=$B$2)*('Журнал'!$B$2:$B$600="Егор")*('Журнал'!$A$2:$A$600=$A35),'Журнал'!$G$2:$G$600,""))))</f>
        <v>#N/A</v>
      </c>
    </row>
    <row r="36" ht="15.75" customHeight="1">
      <c r="A36" s="39">
        <v>46248.0</v>
      </c>
      <c r="B36" s="40" t="str">
        <f t="array" ref="B36">IF($A36="","",IF(COUNTIFS('Журнал'!$C$2:$C$600,$B$2,'Журнал'!$B$2:$B$600,"Данил",'Журнал'!$A$2:$A$600,$A36)=0,NA(),MAX(IF(('Журнал'!$C$2:$C$600=$B$2)*('Журнал'!$B$2:$B$600="Данил")*('Журнал'!$A$2:$A$600=$A36),'Журнал'!$G$2:$G$600,""))))</f>
        <v>#N/A</v>
      </c>
      <c r="C36" s="40" t="str">
        <f t="array" ref="C36">IF($A36="","",IF(COUNTIFS('Журнал'!$C$2:$C$600,$B$2,'Журнал'!$B$2:$B$600,"Егор",'Журнал'!$A$2:$A$600,$A36)=0,NA(),MAX(IF(('Журнал'!$C$2:$C$600=$B$2)*('Журнал'!$B$2:$B$600="Егор")*('Журнал'!$A$2:$A$600=$A36),'Журнал'!$G$2:$G$600,""))))</f>
        <v>#N/A</v>
      </c>
    </row>
    <row r="37" ht="15.75" customHeight="1">
      <c r="A37" s="39">
        <v>46251.0</v>
      </c>
      <c r="B37" s="40" t="str">
        <f t="array" ref="B37">IF($A37="","",IF(COUNTIFS('Журнал'!$C$2:$C$600,$B$2,'Журнал'!$B$2:$B$600,"Данил",'Журнал'!$A$2:$A$600,$A37)=0,NA(),MAX(IF(('Журнал'!$C$2:$C$600=$B$2)*('Журнал'!$B$2:$B$600="Данил")*('Журнал'!$A$2:$A$600=$A37),'Журнал'!$G$2:$G$600,""))))</f>
        <v>#N/A</v>
      </c>
      <c r="C37" s="40" t="str">
        <f t="array" ref="C37">IF($A37="","",IF(COUNTIFS('Журнал'!$C$2:$C$600,$B$2,'Журнал'!$B$2:$B$600,"Егор",'Журнал'!$A$2:$A$600,$A37)=0,NA(),MAX(IF(('Журнал'!$C$2:$C$600=$B$2)*('Журнал'!$B$2:$B$600="Егор")*('Журнал'!$A$2:$A$600=$A37),'Журнал'!$G$2:$G$600,""))))</f>
        <v>#N/A</v>
      </c>
    </row>
    <row r="38" ht="15.75" customHeight="1">
      <c r="A38" s="39">
        <v>46252.0</v>
      </c>
      <c r="B38" s="40" t="str">
        <f t="array" ref="B38">IF($A38="","",IF(COUNTIFS('Журнал'!$C$2:$C$600,$B$2,'Журнал'!$B$2:$B$600,"Данил",'Журнал'!$A$2:$A$600,$A38)=0,NA(),MAX(IF(('Журнал'!$C$2:$C$600=$B$2)*('Журнал'!$B$2:$B$600="Данил")*('Журнал'!$A$2:$A$600=$A38),'Журнал'!$G$2:$G$600,""))))</f>
        <v>#N/A</v>
      </c>
      <c r="C38" s="40" t="str">
        <f t="array" ref="C38">IF($A38="","",IF(COUNTIFS('Журнал'!$C$2:$C$600,$B$2,'Журнал'!$B$2:$B$600,"Егор",'Журнал'!$A$2:$A$600,$A38)=0,NA(),MAX(IF(('Журнал'!$C$2:$C$600=$B$2)*('Журнал'!$B$2:$B$600="Егор")*('Журнал'!$A$2:$A$600=$A38),'Журнал'!$G$2:$G$600,""))))</f>
        <v>#N/A</v>
      </c>
    </row>
    <row r="39" ht="15.75" customHeight="1">
      <c r="A39" s="39">
        <v>46254.0</v>
      </c>
      <c r="B39" s="40" t="str">
        <f t="array" ref="B39">IF($A39="","",IF(COUNTIFS('Журнал'!$C$2:$C$600,$B$2,'Журнал'!$B$2:$B$600,"Данил",'Журнал'!$A$2:$A$600,$A39)=0,NA(),MAX(IF(('Журнал'!$C$2:$C$600=$B$2)*('Журнал'!$B$2:$B$600="Данил")*('Журнал'!$A$2:$A$600=$A39),'Журнал'!$G$2:$G$600,""))))</f>
        <v>#N/A</v>
      </c>
      <c r="C39" s="40" t="str">
        <f t="array" ref="C39">IF($A39="","",IF(COUNTIFS('Журнал'!$C$2:$C$600,$B$2,'Журнал'!$B$2:$B$600,"Егор",'Журнал'!$A$2:$A$600,$A39)=0,NA(),MAX(IF(('Журнал'!$C$2:$C$600=$B$2)*('Журнал'!$B$2:$B$600="Егор")*('Журнал'!$A$2:$A$600=$A39),'Журнал'!$G$2:$G$600,""))))</f>
        <v>#N/A</v>
      </c>
    </row>
    <row r="40" ht="15.75" customHeight="1">
      <c r="A40" s="39">
        <v>46255.0</v>
      </c>
      <c r="B40" s="40" t="str">
        <f t="array" ref="B40">IF($A40="","",IF(COUNTIFS('Журнал'!$C$2:$C$600,$B$2,'Журнал'!$B$2:$B$600,"Данил",'Журнал'!$A$2:$A$600,$A40)=0,NA(),MAX(IF(('Журнал'!$C$2:$C$600=$B$2)*('Журнал'!$B$2:$B$600="Данил")*('Журнал'!$A$2:$A$600=$A40),'Журнал'!$G$2:$G$600,""))))</f>
        <v>#N/A</v>
      </c>
      <c r="C40" s="40" t="str">
        <f t="array" ref="C40">IF($A40="","",IF(COUNTIFS('Журнал'!$C$2:$C$600,$B$2,'Журнал'!$B$2:$B$600,"Егор",'Журнал'!$A$2:$A$600,$A40)=0,NA(),MAX(IF(('Журнал'!$C$2:$C$600=$B$2)*('Журнал'!$B$2:$B$600="Егор")*('Журнал'!$A$2:$A$600=$A40),'Журнал'!$G$2:$G$600,""))))</f>
        <v>#N/A</v>
      </c>
    </row>
    <row r="41" ht="15.75" customHeight="1">
      <c r="A41" s="39">
        <v>46258.0</v>
      </c>
      <c r="B41" s="40" t="str">
        <f t="array" ref="B41">IF($A41="","",IF(COUNTIFS('Журнал'!$C$2:$C$600,$B$2,'Журнал'!$B$2:$B$600,"Данил",'Журнал'!$A$2:$A$600,$A41)=0,NA(),MAX(IF(('Журнал'!$C$2:$C$600=$B$2)*('Журнал'!$B$2:$B$600="Данил")*('Журнал'!$A$2:$A$600=$A41),'Журнал'!$G$2:$G$600,""))))</f>
        <v>#N/A</v>
      </c>
      <c r="C41" s="40" t="str">
        <f t="array" ref="C41">IF($A41="","",IF(COUNTIFS('Журнал'!$C$2:$C$600,$B$2,'Журнал'!$B$2:$B$600,"Егор",'Журнал'!$A$2:$A$600,$A41)=0,NA(),MAX(IF(('Журнал'!$C$2:$C$600=$B$2)*('Журнал'!$B$2:$B$600="Егор")*('Журнал'!$A$2:$A$600=$A41),'Журнал'!$G$2:$G$600,""))))</f>
        <v>#N/A</v>
      </c>
    </row>
    <row r="42" ht="15.75" customHeight="1">
      <c r="A42" s="39">
        <v>46259.0</v>
      </c>
      <c r="B42" s="40" t="str">
        <f t="array" ref="B42">IF($A42="","",IF(COUNTIFS('Журнал'!$C$2:$C$600,$B$2,'Журнал'!$B$2:$B$600,"Данил",'Журнал'!$A$2:$A$600,$A42)=0,NA(),MAX(IF(('Журнал'!$C$2:$C$600=$B$2)*('Журнал'!$B$2:$B$600="Данил")*('Журнал'!$A$2:$A$600=$A42),'Журнал'!$G$2:$G$600,""))))</f>
        <v>#N/A</v>
      </c>
      <c r="C42" s="40" t="str">
        <f t="array" ref="C42">IF($A42="","",IF(COUNTIFS('Журнал'!$C$2:$C$600,$B$2,'Журнал'!$B$2:$B$600,"Егор",'Журнал'!$A$2:$A$600,$A42)=0,NA(),MAX(IF(('Журнал'!$C$2:$C$600=$B$2)*('Журнал'!$B$2:$B$600="Егор")*('Журнал'!$A$2:$A$600=$A42),'Журнал'!$G$2:$G$600,""))))</f>
        <v>#N/A</v>
      </c>
    </row>
    <row r="43" ht="15.75" customHeight="1">
      <c r="A43" s="39">
        <v>46261.0</v>
      </c>
      <c r="B43" s="40" t="str">
        <f t="array" ref="B43">IF($A43="","",IF(COUNTIFS('Журнал'!$C$2:$C$600,$B$2,'Журнал'!$B$2:$B$600,"Данил",'Журнал'!$A$2:$A$600,$A43)=0,NA(),MAX(IF(('Журнал'!$C$2:$C$600=$B$2)*('Журнал'!$B$2:$B$600="Данил")*('Журнал'!$A$2:$A$600=$A43),'Журнал'!$G$2:$G$600,""))))</f>
        <v>#N/A</v>
      </c>
      <c r="C43" s="40" t="str">
        <f t="array" ref="C43">IF($A43="","",IF(COUNTIFS('Журнал'!$C$2:$C$600,$B$2,'Журнал'!$B$2:$B$600,"Егор",'Журнал'!$A$2:$A$600,$A43)=0,NA(),MAX(IF(('Журнал'!$C$2:$C$600=$B$2)*('Журнал'!$B$2:$B$600="Егор")*('Журнал'!$A$2:$A$600=$A43),'Журнал'!$G$2:$G$600,""))))</f>
        <v>#N/A</v>
      </c>
    </row>
    <row r="44" ht="15.75" customHeight="1">
      <c r="A44" s="39">
        <v>46262.0</v>
      </c>
      <c r="B44" s="40" t="str">
        <f t="array" ref="B44">IF($A44="","",IF(COUNTIFS('Журнал'!$C$2:$C$600,$B$2,'Журнал'!$B$2:$B$600,"Данил",'Журнал'!$A$2:$A$600,$A44)=0,NA(),MAX(IF(('Журнал'!$C$2:$C$600=$B$2)*('Журнал'!$B$2:$B$600="Данил")*('Журнал'!$A$2:$A$600=$A44),'Журнал'!$G$2:$G$600,""))))</f>
        <v>#N/A</v>
      </c>
      <c r="C44" s="40" t="str">
        <f t="array" ref="C44">IF($A44="","",IF(COUNTIFS('Журнал'!$C$2:$C$600,$B$2,'Журнал'!$B$2:$B$600,"Егор",'Журнал'!$A$2:$A$600,$A44)=0,NA(),MAX(IF(('Журнал'!$C$2:$C$600=$B$2)*('Журнал'!$B$2:$B$600="Егор")*('Журнал'!$A$2:$A$600=$A44),'Журнал'!$G$2:$G$600,""))))</f>
        <v>#N/A</v>
      </c>
    </row>
    <row r="45" ht="15.75" customHeight="1">
      <c r="A45" s="39">
        <v>46265.0</v>
      </c>
      <c r="B45" s="40" t="str">
        <f t="array" ref="B45">IF($A45="","",IF(COUNTIFS('Журнал'!$C$2:$C$600,$B$2,'Журнал'!$B$2:$B$600,"Данил",'Журнал'!$A$2:$A$600,$A45)=0,NA(),MAX(IF(('Журнал'!$C$2:$C$600=$B$2)*('Журнал'!$B$2:$B$600="Данил")*('Журнал'!$A$2:$A$600=$A45),'Журнал'!$G$2:$G$600,""))))</f>
        <v>#N/A</v>
      </c>
      <c r="C45" s="40" t="str">
        <f t="array" ref="C45">IF($A45="","",IF(COUNTIFS('Журнал'!$C$2:$C$600,$B$2,'Журнал'!$B$2:$B$600,"Егор",'Журнал'!$A$2:$A$600,$A45)=0,NA(),MAX(IF(('Журнал'!$C$2:$C$600=$B$2)*('Журнал'!$B$2:$B$600="Егор")*('Журнал'!$A$2:$A$600=$A45),'Журнал'!$G$2:$G$600,""))))</f>
        <v>#N/A</v>
      </c>
    </row>
    <row r="46" ht="15.75" customHeight="1">
      <c r="A46" s="39">
        <v>46266.0</v>
      </c>
      <c r="B46" s="40" t="str">
        <f t="array" ref="B46">IF($A46="","",IF(COUNTIFS('Журнал'!$C$2:$C$600,$B$2,'Журнал'!$B$2:$B$600,"Данил",'Журнал'!$A$2:$A$600,$A46)=0,NA(),MAX(IF(('Журнал'!$C$2:$C$600=$B$2)*('Журнал'!$B$2:$B$600="Данил")*('Журнал'!$A$2:$A$600=$A46),'Журнал'!$G$2:$G$600,""))))</f>
        <v>#N/A</v>
      </c>
      <c r="C46" s="40" t="str">
        <f t="array" ref="C46">IF($A46="","",IF(COUNTIFS('Журнал'!$C$2:$C$600,$B$2,'Журнал'!$B$2:$B$600,"Егор",'Журнал'!$A$2:$A$600,$A46)=0,NA(),MAX(IF(('Журнал'!$C$2:$C$600=$B$2)*('Журнал'!$B$2:$B$600="Егор")*('Журнал'!$A$2:$A$600=$A46),'Журнал'!$G$2:$G$600,""))))</f>
        <v>#N/A</v>
      </c>
    </row>
    <row r="47" ht="15.75" customHeight="1">
      <c r="A47" s="39">
        <v>46268.0</v>
      </c>
      <c r="B47" s="40" t="str">
        <f t="array" ref="B47">IF($A47="","",IF(COUNTIFS('Журнал'!$C$2:$C$600,$B$2,'Журнал'!$B$2:$B$600,"Данил",'Журнал'!$A$2:$A$600,$A47)=0,NA(),MAX(IF(('Журнал'!$C$2:$C$600=$B$2)*('Журнал'!$B$2:$B$600="Данил")*('Журнал'!$A$2:$A$600=$A47),'Журнал'!$G$2:$G$600,""))))</f>
        <v>#N/A</v>
      </c>
      <c r="C47" s="40" t="str">
        <f t="array" ref="C47">IF($A47="","",IF(COUNTIFS('Журнал'!$C$2:$C$600,$B$2,'Журнал'!$B$2:$B$600,"Егор",'Журнал'!$A$2:$A$600,$A47)=0,NA(),MAX(IF(('Журнал'!$C$2:$C$600=$B$2)*('Журнал'!$B$2:$B$600="Егор")*('Журнал'!$A$2:$A$600=$A47),'Журнал'!$G$2:$G$600,""))))</f>
        <v>#N/A</v>
      </c>
    </row>
    <row r="48" ht="15.75" customHeight="1">
      <c r="A48" s="39">
        <v>46269.0</v>
      </c>
      <c r="B48" s="40" t="str">
        <f t="array" ref="B48">IF($A48="","",IF(COUNTIFS('Журнал'!$C$2:$C$600,$B$2,'Журнал'!$B$2:$B$600,"Данил",'Журнал'!$A$2:$A$600,$A48)=0,NA(),MAX(IF(('Журнал'!$C$2:$C$600=$B$2)*('Журнал'!$B$2:$B$600="Данил")*('Журнал'!$A$2:$A$600=$A48),'Журнал'!$G$2:$G$600,""))))</f>
        <v>#N/A</v>
      </c>
      <c r="C48" s="40" t="str">
        <f t="array" ref="C48">IF($A48="","",IF(COUNTIFS('Журнал'!$C$2:$C$600,$B$2,'Журнал'!$B$2:$B$600,"Егор",'Журнал'!$A$2:$A$600,$A48)=0,NA(),MAX(IF(('Журнал'!$C$2:$C$600=$B$2)*('Журнал'!$B$2:$B$600="Егор")*('Журнал'!$A$2:$A$600=$A48),'Журнал'!$G$2:$G$600,""))))</f>
        <v>#N/A</v>
      </c>
    </row>
    <row r="49" ht="15.75" customHeight="1">
      <c r="A49" s="39">
        <v>46272.0</v>
      </c>
      <c r="B49" s="40" t="str">
        <f t="array" ref="B49">IF($A49="","",IF(COUNTIFS('Журнал'!$C$2:$C$600,$B$2,'Журнал'!$B$2:$B$600,"Данил",'Журнал'!$A$2:$A$600,$A49)=0,NA(),MAX(IF(('Журнал'!$C$2:$C$600=$B$2)*('Журнал'!$B$2:$B$600="Данил")*('Журнал'!$A$2:$A$600=$A49),'Журнал'!$G$2:$G$600,""))))</f>
        <v>#N/A</v>
      </c>
      <c r="C49" s="40" t="str">
        <f t="array" ref="C49">IF($A49="","",IF(COUNTIFS('Журнал'!$C$2:$C$600,$B$2,'Журнал'!$B$2:$B$600,"Егор",'Журнал'!$A$2:$A$600,$A49)=0,NA(),MAX(IF(('Журнал'!$C$2:$C$600=$B$2)*('Журнал'!$B$2:$B$600="Егор")*('Журнал'!$A$2:$A$600=$A49),'Журнал'!$G$2:$G$600,""))))</f>
        <v>#N/A</v>
      </c>
    </row>
    <row r="50" ht="15.75" customHeight="1">
      <c r="A50" s="39">
        <v>46273.0</v>
      </c>
      <c r="B50" s="40" t="str">
        <f t="array" ref="B50">IF($A50="","",IF(COUNTIFS('Журнал'!$C$2:$C$600,$B$2,'Журнал'!$B$2:$B$600,"Данил",'Журнал'!$A$2:$A$600,$A50)=0,NA(),MAX(IF(('Журнал'!$C$2:$C$600=$B$2)*('Журнал'!$B$2:$B$600="Данил")*('Журнал'!$A$2:$A$600=$A50),'Журнал'!$G$2:$G$600,""))))</f>
        <v>#N/A</v>
      </c>
      <c r="C50" s="40" t="str">
        <f t="array" ref="C50">IF($A50="","",IF(COUNTIFS('Журнал'!$C$2:$C$600,$B$2,'Журнал'!$B$2:$B$600,"Егор",'Журнал'!$A$2:$A$600,$A50)=0,NA(),MAX(IF(('Журнал'!$C$2:$C$600=$B$2)*('Журнал'!$B$2:$B$600="Егор")*('Журнал'!$A$2:$A$600=$A50),'Журнал'!$G$2:$G$600,""))))</f>
        <v>#N/A</v>
      </c>
    </row>
    <row r="51" ht="15.75" customHeight="1">
      <c r="A51" s="39">
        <v>46275.0</v>
      </c>
      <c r="B51" s="40" t="str">
        <f t="array" ref="B51">IF($A51="","",IF(COUNTIFS('Журнал'!$C$2:$C$600,$B$2,'Журнал'!$B$2:$B$600,"Данил",'Журнал'!$A$2:$A$600,$A51)=0,NA(),MAX(IF(('Журнал'!$C$2:$C$600=$B$2)*('Журнал'!$B$2:$B$600="Данил")*('Журнал'!$A$2:$A$600=$A51),'Журнал'!$G$2:$G$600,""))))</f>
        <v>#N/A</v>
      </c>
      <c r="C51" s="40" t="str">
        <f t="array" ref="C51">IF($A51="","",IF(COUNTIFS('Журнал'!$C$2:$C$600,$B$2,'Журнал'!$B$2:$B$600,"Егор",'Журнал'!$A$2:$A$600,$A51)=0,NA(),MAX(IF(('Журнал'!$C$2:$C$600=$B$2)*('Журнал'!$B$2:$B$600="Егор")*('Журнал'!$A$2:$A$600=$A51),'Журнал'!$G$2:$G$600,""))))</f>
        <v>#N/A</v>
      </c>
    </row>
    <row r="52" ht="15.75" customHeight="1">
      <c r="A52" s="39">
        <v>46276.0</v>
      </c>
      <c r="B52" s="40" t="str">
        <f t="array" ref="B52">IF($A52="","",IF(COUNTIFS('Журнал'!$C$2:$C$600,$B$2,'Журнал'!$B$2:$B$600,"Данил",'Журнал'!$A$2:$A$600,$A52)=0,NA(),MAX(IF(('Журнал'!$C$2:$C$600=$B$2)*('Журнал'!$B$2:$B$600="Данил")*('Журнал'!$A$2:$A$600=$A52),'Журнал'!$G$2:$G$600,""))))</f>
        <v>#N/A</v>
      </c>
      <c r="C52" s="40" t="str">
        <f t="array" ref="C52">IF($A52="","",IF(COUNTIFS('Журнал'!$C$2:$C$600,$B$2,'Журнал'!$B$2:$B$600,"Егор",'Журнал'!$A$2:$A$600,$A52)=0,NA(),MAX(IF(('Журнал'!$C$2:$C$600=$B$2)*('Журнал'!$B$2:$B$600="Егор")*('Журнал'!$A$2:$A$600=$A52),'Журнал'!$G$2:$G$600,""))))</f>
        <v>#N/A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3:C3"/>
  </mergeCells>
  <conditionalFormatting sqref="B5:C52">
    <cfRule type="expression" dxfId="2" priority="1">
      <formula>ISNA(B5)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60.0"/>
    <col customWidth="1" min="3" max="26" width="8.71"/>
  </cols>
  <sheetData>
    <row r="1">
      <c r="A1" s="41" t="s">
        <v>140</v>
      </c>
      <c r="B1" s="41" t="s">
        <v>141</v>
      </c>
    </row>
    <row r="2" ht="27.75" customHeight="1">
      <c r="A2" s="16" t="s">
        <v>142</v>
      </c>
      <c r="B2" s="16" t="s">
        <v>143</v>
      </c>
    </row>
    <row r="3" ht="27.75" customHeight="1">
      <c r="A3" s="13" t="s">
        <v>36</v>
      </c>
      <c r="B3" s="13" t="s">
        <v>144</v>
      </c>
    </row>
    <row r="4" ht="27.75" customHeight="1">
      <c r="A4" s="16" t="s">
        <v>118</v>
      </c>
      <c r="B4" s="16" t="s">
        <v>145</v>
      </c>
    </row>
    <row r="5" ht="27.75" customHeight="1">
      <c r="A5" s="13" t="s">
        <v>146</v>
      </c>
      <c r="B5" s="13" t="s">
        <v>147</v>
      </c>
    </row>
    <row r="6" ht="27.75" customHeight="1">
      <c r="A6" s="16" t="s">
        <v>122</v>
      </c>
      <c r="B6" s="16" t="s">
        <v>148</v>
      </c>
    </row>
    <row r="7" ht="27.75" customHeight="1">
      <c r="A7" s="13" t="s">
        <v>124</v>
      </c>
      <c r="B7" s="13" t="s">
        <v>149</v>
      </c>
    </row>
    <row r="8" ht="27.75" customHeight="1">
      <c r="A8" s="16" t="s">
        <v>150</v>
      </c>
      <c r="B8" s="16" t="s">
        <v>151</v>
      </c>
    </row>
    <row r="9" ht="27.75" customHeight="1">
      <c r="A9" s="13" t="s">
        <v>152</v>
      </c>
      <c r="B9" s="13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8.71"/>
    <col customWidth="1" min="3" max="3" width="12.0"/>
    <col customWidth="1" min="4" max="26" width="8.71"/>
  </cols>
  <sheetData>
    <row r="1">
      <c r="A1" s="42" t="s">
        <v>154</v>
      </c>
      <c r="C1" s="42" t="s">
        <v>111</v>
      </c>
    </row>
    <row r="2">
      <c r="A2" s="43" t="s">
        <v>31</v>
      </c>
      <c r="C2" s="43" t="s">
        <v>117</v>
      </c>
    </row>
    <row r="3">
      <c r="A3" s="43" t="s">
        <v>40</v>
      </c>
      <c r="C3" s="43" t="s">
        <v>116</v>
      </c>
    </row>
    <row r="4">
      <c r="A4" s="43" t="s">
        <v>119</v>
      </c>
    </row>
    <row r="5">
      <c r="A5" s="43" t="s">
        <v>36</v>
      </c>
    </row>
    <row r="6">
      <c r="A6" s="43" t="s">
        <v>118</v>
      </c>
    </row>
    <row r="7">
      <c r="A7" s="43" t="s">
        <v>48</v>
      </c>
    </row>
    <row r="8">
      <c r="A8" s="43" t="s">
        <v>120</v>
      </c>
    </row>
    <row r="9">
      <c r="A9" s="43" t="s">
        <v>54</v>
      </c>
    </row>
    <row r="10">
      <c r="A10" s="43" t="s">
        <v>121</v>
      </c>
    </row>
    <row r="11">
      <c r="A11" s="43" t="s">
        <v>122</v>
      </c>
    </row>
    <row r="12">
      <c r="A12" s="43" t="s">
        <v>123</v>
      </c>
    </row>
    <row r="13">
      <c r="A13" s="43" t="s">
        <v>124</v>
      </c>
    </row>
    <row r="14">
      <c r="A14" s="43" t="s">
        <v>125</v>
      </c>
    </row>
    <row r="15">
      <c r="A15" s="43" t="s">
        <v>126</v>
      </c>
    </row>
    <row r="16">
      <c r="A16" s="43" t="s">
        <v>103</v>
      </c>
    </row>
    <row r="17">
      <c r="A17" s="43" t="s">
        <v>77</v>
      </c>
    </row>
    <row r="18">
      <c r="A18" s="43" t="s">
        <v>133</v>
      </c>
    </row>
    <row r="19">
      <c r="A19" s="43" t="s">
        <v>155</v>
      </c>
    </row>
    <row r="20">
      <c r="A20" s="43" t="s">
        <v>156</v>
      </c>
    </row>
    <row r="21" ht="15.75" customHeight="1">
      <c r="A21" s="43" t="s">
        <v>157</v>
      </c>
    </row>
    <row r="22" ht="15.75" customHeight="1">
      <c r="A22" s="43" t="s">
        <v>158</v>
      </c>
    </row>
    <row r="23" ht="15.75" customHeight="1">
      <c r="A23" s="43" t="s">
        <v>159</v>
      </c>
    </row>
    <row r="24" ht="15.75" customHeight="1">
      <c r="A24" s="43" t="s">
        <v>160</v>
      </c>
    </row>
    <row r="25" ht="15.75" customHeight="1">
      <c r="A25" s="43" t="s">
        <v>161</v>
      </c>
    </row>
    <row r="26" ht="15.75" customHeight="1">
      <c r="A26" s="43" t="s">
        <v>162</v>
      </c>
    </row>
    <row r="27" ht="15.75" customHeight="1">
      <c r="A27" s="43" t="s">
        <v>163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